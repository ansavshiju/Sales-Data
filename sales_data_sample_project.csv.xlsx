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5ecdd393e148eee5/Desktop/"/>
    </mc:Choice>
  </mc:AlternateContent>
  <xr:revisionPtr revIDLastSave="1" documentId="13_ncr:1_{9F496582-6910-4469-BC16-2977D93B09D3}" xr6:coauthVersionLast="47" xr6:coauthVersionMax="47" xr10:uidLastSave="{D0FAA3C4-EEEB-4A12-8E94-4F1F27DDE05F}"/>
  <bookViews>
    <workbookView xWindow="-108" yWindow="-108" windowWidth="23256" windowHeight="12456" firstSheet="1" activeTab="3" xr2:uid="{8C1AC1F2-D220-4483-9DD1-FA7EBE56B89F}"/>
  </bookViews>
  <sheets>
    <sheet name="sales_data_sample (1)" sheetId="1" r:id="rId1"/>
    <sheet name="sales_data_sample (2)" sheetId="2" r:id="rId2"/>
    <sheet name="Data Transformation" sheetId="3" r:id="rId3"/>
    <sheet name="Analysis" sheetId="5" r:id="rId4"/>
    <sheet name="Pivot Table" sheetId="9" r:id="rId5"/>
    <sheet name="Dashboard" sheetId="8" r:id="rId6"/>
  </sheets>
  <definedNames>
    <definedName name="Slicer_PRODUCTLINE">#N/A</definedName>
    <definedName name="Slicer_YEAR_ID">#N/A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1" i="5" l="1"/>
  <c r="R3" i="5"/>
  <c r="I4" i="5"/>
  <c r="I5" i="5"/>
  <c r="I6" i="5"/>
  <c r="I7" i="5"/>
  <c r="I8" i="5"/>
  <c r="I9" i="5"/>
  <c r="I10" i="5"/>
  <c r="I11" i="5"/>
  <c r="I12" i="5"/>
  <c r="I13" i="5"/>
  <c r="I14" i="5"/>
  <c r="I15" i="5"/>
  <c r="I16" i="5"/>
  <c r="I17" i="5"/>
  <c r="I18" i="5"/>
  <c r="I19" i="5"/>
  <c r="I20" i="5"/>
  <c r="I21" i="5"/>
  <c r="I3" i="5"/>
  <c r="H3" i="5" a="1"/>
  <c r="H3" i="5" s="1"/>
  <c r="E19" i="5"/>
  <c r="B19" i="5"/>
  <c r="E9" i="5"/>
  <c r="B9" i="5"/>
  <c r="D12" i="5" a="1"/>
  <c r="D12" i="5" s="1"/>
  <c r="E12" i="5" s="1"/>
  <c r="D2" i="5" a="1"/>
  <c r="D2" i="5" s="1"/>
  <c r="E2" i="5" s="1"/>
  <c r="A12" i="5" a="1"/>
  <c r="A12" i="5" s="1"/>
  <c r="B12" i="5" s="1"/>
  <c r="A2" i="5" a="1"/>
  <c r="A2" i="5" s="1"/>
  <c r="B2" i="5" s="1"/>
  <c r="P3" i="5"/>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2" i="3"/>
  <c r="R6" i="5"/>
  <c r="P6" i="5"/>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2" i="3"/>
  <c r="G23" i="2"/>
  <c r="G35" i="2"/>
  <c r="G45" i="2"/>
  <c r="G58" i="2"/>
  <c r="G67" i="2"/>
  <c r="G78" i="2"/>
  <c r="G85" i="2"/>
  <c r="G97" i="2"/>
  <c r="G106" i="2"/>
  <c r="G117" i="2"/>
  <c r="G130" i="2"/>
  <c r="G144" i="2"/>
  <c r="G154" i="2"/>
  <c r="G165" i="2"/>
  <c r="G175" i="2"/>
  <c r="G189" i="2"/>
  <c r="G199" i="2"/>
  <c r="G208" i="2"/>
  <c r="G219" i="2"/>
  <c r="G231" i="2"/>
  <c r="G249" i="2"/>
  <c r="G263" i="2"/>
  <c r="G276" i="2"/>
  <c r="G289" i="2"/>
  <c r="G301" i="2"/>
  <c r="G5" i="2"/>
  <c r="G14" i="2"/>
  <c r="G28" i="2"/>
  <c r="G40" i="2"/>
  <c r="G50" i="2"/>
  <c r="G62" i="2"/>
  <c r="G73" i="2"/>
  <c r="G81" i="2"/>
  <c r="G91" i="2"/>
  <c r="G101" i="2"/>
  <c r="G110" i="2"/>
  <c r="G122" i="2"/>
  <c r="G138" i="2"/>
  <c r="G150" i="2"/>
  <c r="G160" i="2"/>
  <c r="G170" i="2"/>
  <c r="G181" i="2"/>
  <c r="G194" i="2"/>
  <c r="G202" i="2"/>
  <c r="G212" i="2"/>
  <c r="G223" i="2"/>
  <c r="G237" i="2"/>
  <c r="G246" i="2"/>
  <c r="G257" i="2"/>
  <c r="G269" i="2"/>
  <c r="G279" i="2"/>
  <c r="G295" i="2"/>
  <c r="G307" i="2"/>
  <c r="G22" i="2"/>
  <c r="G105" i="2"/>
  <c r="G129" i="2"/>
  <c r="G188" i="2"/>
  <c r="G198" i="2"/>
  <c r="G229" i="2"/>
  <c r="G262" i="2"/>
  <c r="G288" i="2"/>
  <c r="G250" i="2"/>
  <c r="G7" i="2"/>
  <c r="G21" i="2"/>
  <c r="G31" i="2"/>
  <c r="G43" i="2"/>
  <c r="G55" i="2"/>
  <c r="G66" i="2"/>
  <c r="G77" i="2"/>
  <c r="G84" i="2"/>
  <c r="G94" i="2"/>
  <c r="G104" i="2"/>
  <c r="G116" i="2"/>
  <c r="G141" i="2"/>
  <c r="G152" i="2"/>
  <c r="G163" i="2"/>
  <c r="G173" i="2"/>
  <c r="G185" i="2"/>
  <c r="G197" i="2"/>
  <c r="G206" i="2"/>
  <c r="G215" i="2"/>
  <c r="G227" i="2"/>
  <c r="G240" i="2"/>
  <c r="G248" i="2"/>
  <c r="G261" i="2"/>
  <c r="G272" i="2"/>
  <c r="G282" i="2"/>
  <c r="G286" i="2"/>
  <c r="G298" i="2"/>
  <c r="G16" i="2"/>
  <c r="G63" i="2"/>
  <c r="G74" i="2"/>
  <c r="G102" i="2"/>
  <c r="G112" i="2"/>
  <c r="G123" i="2"/>
  <c r="G151" i="2"/>
  <c r="G171" i="2"/>
  <c r="G195" i="2"/>
  <c r="G203" i="2"/>
  <c r="G224" i="2"/>
  <c r="G258" i="2"/>
  <c r="G308" i="2"/>
  <c r="G10" i="2"/>
  <c r="G24" i="2"/>
  <c r="G36" i="2"/>
  <c r="G47" i="2"/>
  <c r="G68" i="2"/>
  <c r="G79" i="2"/>
  <c r="G88" i="2"/>
  <c r="G98" i="2"/>
  <c r="G119" i="2"/>
  <c r="G131" i="2"/>
  <c r="G146" i="2"/>
  <c r="G157" i="2"/>
  <c r="G166" i="2"/>
  <c r="G177" i="2"/>
  <c r="G190" i="2"/>
  <c r="G200" i="2"/>
  <c r="G210" i="2"/>
  <c r="G251" i="2"/>
  <c r="G277" i="2"/>
  <c r="G302" i="2"/>
  <c r="G19" i="2"/>
  <c r="G29" i="2"/>
  <c r="G42" i="2"/>
  <c r="G53" i="2"/>
  <c r="G64" i="2"/>
  <c r="G75" i="2"/>
  <c r="G83" i="2"/>
  <c r="G93" i="2"/>
  <c r="G103" i="2"/>
  <c r="G114" i="2"/>
  <c r="G125" i="2"/>
  <c r="G140" i="2"/>
  <c r="G162" i="2"/>
  <c r="G172" i="2"/>
  <c r="G183" i="2"/>
  <c r="G196" i="2"/>
  <c r="G204" i="2"/>
  <c r="G226" i="2"/>
  <c r="G238" i="2"/>
  <c r="G259" i="2"/>
  <c r="G270" i="2"/>
  <c r="G297" i="2"/>
  <c r="G15" i="2"/>
  <c r="G111" i="2"/>
  <c r="G86" i="2"/>
  <c r="G118" i="2"/>
  <c r="G209" i="2"/>
  <c r="G6" i="2"/>
  <c r="G124" i="2"/>
  <c r="G214" i="2"/>
  <c r="G247" i="2"/>
  <c r="G260" i="2"/>
  <c r="G59" i="2"/>
  <c r="G69" i="2"/>
  <c r="G107" i="2"/>
  <c r="G264" i="2"/>
  <c r="G239" i="2"/>
  <c r="G283" i="2"/>
  <c r="G265" i="2"/>
  <c r="G17" i="2"/>
  <c r="G41" i="2"/>
  <c r="G51" i="2"/>
  <c r="G82" i="2"/>
  <c r="G92" i="2"/>
  <c r="G113" i="2"/>
  <c r="G139" i="2"/>
  <c r="G161" i="2"/>
  <c r="G182" i="2"/>
  <c r="G296" i="2"/>
  <c r="G89" i="2"/>
  <c r="G132" i="2"/>
  <c r="G167" i="2"/>
  <c r="G211" i="2"/>
  <c r="G290" i="2"/>
  <c r="G11" i="2"/>
  <c r="G37" i="2"/>
  <c r="G48" i="2"/>
  <c r="G60" i="2"/>
  <c r="G70" i="2"/>
  <c r="G99" i="2"/>
  <c r="G133" i="2"/>
  <c r="G168" i="2"/>
  <c r="G191" i="2"/>
  <c r="G221" i="2"/>
  <c r="G232" i="2"/>
  <c r="G245" i="2"/>
  <c r="G253" i="2"/>
  <c r="G278" i="2"/>
  <c r="G291" i="2"/>
  <c r="G4" i="2"/>
  <c r="G13" i="2"/>
  <c r="G27" i="2"/>
  <c r="G39" i="2"/>
  <c r="G49" i="2"/>
  <c r="G61" i="2"/>
  <c r="G72" i="2"/>
  <c r="G80" i="2"/>
  <c r="G90" i="2"/>
  <c r="G100" i="2"/>
  <c r="G121" i="2"/>
  <c r="G137" i="2"/>
  <c r="G148" i="2"/>
  <c r="G179" i="2"/>
  <c r="G222" i="2"/>
  <c r="G236" i="2"/>
  <c r="G268" i="2"/>
  <c r="G305" i="2"/>
  <c r="G12" i="2"/>
  <c r="G25" i="2"/>
  <c r="G38" i="2"/>
  <c r="G71" i="2"/>
  <c r="G120" i="2"/>
  <c r="G134" i="2"/>
  <c r="G178" i="2"/>
  <c r="G201" i="2"/>
  <c r="G233" i="2"/>
  <c r="G255" i="2"/>
  <c r="G266" i="2"/>
  <c r="G292" i="2"/>
  <c r="G8" i="2"/>
  <c r="G33" i="2"/>
  <c r="G95" i="2"/>
  <c r="G143" i="2"/>
  <c r="G153" i="2"/>
  <c r="G164" i="2"/>
  <c r="G174" i="2"/>
  <c r="G186" i="2"/>
  <c r="G217" i="2"/>
  <c r="G228" i="2"/>
  <c r="G241" i="2"/>
  <c r="G274" i="2"/>
  <c r="G285" i="2"/>
  <c r="G300" i="2"/>
  <c r="G2" i="2"/>
  <c r="G26" i="2"/>
  <c r="G109" i="2"/>
  <c r="G192" i="2"/>
  <c r="G234" i="2"/>
  <c r="G267" i="2"/>
  <c r="G303" i="2"/>
  <c r="G254" i="2"/>
  <c r="G193" i="2"/>
  <c r="G271" i="2"/>
  <c r="G3" i="2"/>
  <c r="G136" i="2"/>
  <c r="G294" i="2"/>
  <c r="G34" i="2"/>
  <c r="G128" i="2"/>
  <c r="G187" i="2"/>
  <c r="G243" i="2"/>
  <c r="G287" i="2"/>
  <c r="G147" i="2"/>
  <c r="G304" i="2"/>
  <c r="G149" i="2"/>
  <c r="G306" i="2"/>
  <c r="G159" i="2"/>
  <c r="G280" i="2"/>
  <c r="G32" i="2"/>
  <c r="G30" i="2"/>
  <c r="G65" i="2"/>
  <c r="G76" i="2"/>
  <c r="G115" i="2"/>
  <c r="G126" i="2"/>
  <c r="G281" i="2"/>
  <c r="G216" i="2"/>
  <c r="G145" i="2"/>
  <c r="G156" i="2"/>
  <c r="G180" i="2"/>
  <c r="G213" i="2"/>
  <c r="G220" i="2"/>
  <c r="G244" i="2"/>
  <c r="G46" i="2"/>
  <c r="G155" i="2"/>
  <c r="G176" i="2"/>
  <c r="G142" i="2"/>
  <c r="G218" i="2"/>
  <c r="G299" i="2"/>
  <c r="G52" i="2"/>
  <c r="G108" i="2"/>
  <c r="G205" i="2"/>
  <c r="G158" i="2"/>
  <c r="G169" i="2"/>
  <c r="G57" i="2"/>
  <c r="G230" i="2"/>
  <c r="G235" i="2"/>
  <c r="G87" i="2"/>
  <c r="G256" i="2"/>
  <c r="G225" i="2"/>
  <c r="G54" i="2"/>
  <c r="G127" i="2"/>
  <c r="G273" i="2"/>
  <c r="G135" i="2"/>
  <c r="G293" i="2"/>
  <c r="G207" i="2"/>
  <c r="G275" i="2"/>
  <c r="G252" i="2"/>
  <c r="G18" i="2"/>
  <c r="G44" i="2"/>
  <c r="G56" i="2"/>
  <c r="G96" i="2"/>
  <c r="G284" i="2"/>
  <c r="G242" i="2"/>
  <c r="G20" i="2"/>
  <c r="G184" i="2"/>
  <c r="G9" i="2"/>
  <c r="B8" i="5" l="1"/>
  <c r="B18" i="5"/>
  <c r="E8" i="5"/>
  <c r="E17" i="5"/>
  <c r="B7" i="5"/>
  <c r="B17" i="5"/>
  <c r="E7" i="5"/>
  <c r="E16" i="5"/>
  <c r="B6" i="5"/>
  <c r="B16" i="5"/>
  <c r="E6" i="5"/>
  <c r="E15" i="5"/>
  <c r="B5" i="5"/>
  <c r="E14" i="5"/>
  <c r="E5" i="5"/>
  <c r="B4" i="5"/>
  <c r="B14" i="5"/>
  <c r="E13" i="5"/>
  <c r="B15" i="5"/>
  <c r="E4" i="5"/>
  <c r="B3" i="5"/>
  <c r="B13" i="5"/>
  <c r="E3" i="5"/>
  <c r="E1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<sst xmlns="http://schemas.openxmlformats.org/spreadsheetml/2006/main" count="8336" uniqueCount="787">
  <si>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</si>
  <si>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</si>
  <si>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</si>
  <si>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</si>
  <si>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</si>
  <si>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</si>
  <si>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</si>
  <si>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</si>
  <si>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</si>
  <si>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</si>
  <si>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</si>
  <si>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</si>
  <si>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</si>
  <si>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</si>
  <si>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</si>
  <si>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</si>
  <si>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</si>
  <si>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</si>
  <si>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</si>
  <si>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</si>
  <si>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</si>
  <si>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</si>
  <si>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</si>
  <si>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</si>
  <si>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</si>
  <si>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</si>
  <si>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</si>
  <si>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</si>
  <si>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</si>
  <si>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</si>
  <si>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</si>
  <si>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</si>
  <si>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</si>
  <si>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</si>
  <si>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</si>
  <si>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</si>
  <si>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</si>
  <si>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</si>
  <si>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</si>
  <si>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</si>
  <si>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</si>
  <si>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</si>
  <si>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</si>
  <si>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</si>
  <si>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</si>
  <si>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</si>
  <si>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</si>
  <si>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</si>
  <si>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</si>
  <si>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</si>
  <si>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</si>
  <si>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</si>
  <si>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</si>
  <si>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8/25/2003 0:00</t>
  </si>
  <si>
    <t>Toys4GrownUps.com</t>
  </si>
  <si>
    <t>78934 Hillside Dr.</t>
  </si>
  <si>
    <t>Pasadena</t>
  </si>
  <si>
    <t>CA</t>
  </si>
  <si>
    <t>Young</t>
  </si>
  <si>
    <t>Julie</t>
  </si>
  <si>
    <t>Corporate Gift Ideas Co.</t>
  </si>
  <si>
    <t>7734 Strong St.</t>
  </si>
  <si>
    <t>San Francisco</t>
  </si>
  <si>
    <t>Brown</t>
  </si>
  <si>
    <t>10/28/2003 0:00</t>
  </si>
  <si>
    <t>Technics Stores Inc.</t>
  </si>
  <si>
    <t>9408 Furth Circle</t>
  </si>
  <si>
    <t>Burlingame</t>
  </si>
  <si>
    <t>Hirano</t>
  </si>
  <si>
    <t>Juri</t>
  </si>
  <si>
    <t>Daedalus Designs Imports</t>
  </si>
  <si>
    <t>20.16.1555</t>
  </si>
  <si>
    <t>184, chausse de Tournai</t>
  </si>
  <si>
    <t>Lille</t>
  </si>
  <si>
    <t>Rance</t>
  </si>
  <si>
    <t>Martine</t>
  </si>
  <si>
    <t>11/18/2003 0:00</t>
  </si>
  <si>
    <t>Herkku Gifts</t>
  </si>
  <si>
    <t>+47 2267 3215</t>
  </si>
  <si>
    <t>Drammen 121, PR 744 Sentrum</t>
  </si>
  <si>
    <t>Bergen</t>
  </si>
  <si>
    <t>N 5804</t>
  </si>
  <si>
    <t>Norway</t>
  </si>
  <si>
    <t>Oeztan</t>
  </si>
  <si>
    <t>Veysel</t>
  </si>
  <si>
    <t>Mini Wheels Co.</t>
  </si>
  <si>
    <t>5557 North Pendale Street</t>
  </si>
  <si>
    <t>Murphy</t>
  </si>
  <si>
    <t>1/15/2004 0:00</t>
  </si>
  <si>
    <t>Auto Canal Petit</t>
  </si>
  <si>
    <t>(1) 47.55.6555</t>
  </si>
  <si>
    <t>25, rue Lauriston</t>
  </si>
  <si>
    <t>Perrier</t>
  </si>
  <si>
    <t>Dominique</t>
  </si>
  <si>
    <t>2/20/2004 0:00</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</si>
  <si>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</si>
  <si>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</si>
  <si>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</si>
  <si>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</si>
  <si>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</si>
  <si>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</si>
  <si>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</si>
  <si>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</si>
  <si>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</si>
  <si>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</si>
  <si>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</si>
  <si>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</si>
  <si>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</si>
  <si>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</si>
  <si>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</si>
  <si>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5/18/2004 0:00</t>
  </si>
  <si>
    <t>Tekni Collectables Inc.</t>
  </si>
  <si>
    <t>7476 Moss Rd.</t>
  </si>
  <si>
    <t>Newark</t>
  </si>
  <si>
    <t>NJ</t>
  </si>
  <si>
    <t>William</t>
  </si>
  <si>
    <t>6/28/2004 0:00</t>
  </si>
  <si>
    <t>Gift Depot Inc.</t>
  </si>
  <si>
    <t>25593 South Bay Ln.</t>
  </si>
  <si>
    <t>Bridgewater</t>
  </si>
  <si>
    <t>CT</t>
  </si>
  <si>
    <t>King</t>
  </si>
  <si>
    <t>7/23/2004 0:00</t>
  </si>
  <si>
    <t>La Rochelle Gifts</t>
  </si>
  <si>
    <t>40.67.8555</t>
  </si>
  <si>
    <t>67, rue des Cinquante Otages</t>
  </si>
  <si>
    <t>Nantes</t>
  </si>
  <si>
    <t>Labrune</t>
  </si>
  <si>
    <t>Janine</t>
  </si>
  <si>
    <t>8/27/2004 0:00</t>
  </si>
  <si>
    <t>Marta's Replicas Co.</t>
  </si>
  <si>
    <t>39323 Spinnaker Dr.</t>
  </si>
  <si>
    <t>Cambridge</t>
  </si>
  <si>
    <t>MA</t>
  </si>
  <si>
    <t>Hernandez</t>
  </si>
  <si>
    <t>Marta</t>
  </si>
  <si>
    <t>9/30/2004 0:00</t>
  </si>
  <si>
    <t>Toys of Finland, Co.</t>
  </si>
  <si>
    <t>90-224 8555</t>
  </si>
  <si>
    <t>Keskuskatu 45</t>
  </si>
  <si>
    <t>Helsinki</t>
  </si>
  <si>
    <t>Finland</t>
  </si>
  <si>
    <t>Karttunen</t>
  </si>
  <si>
    <t>Matti</t>
  </si>
  <si>
    <t>10/15/2004 0:00</t>
  </si>
  <si>
    <t>Baane Mini Imports</t>
  </si>
  <si>
    <t>07-98 9555</t>
  </si>
  <si>
    <t>Erling Skakkes gate 78</t>
  </si>
  <si>
    <t>Stavern</t>
  </si>
  <si>
    <t>Bergulfsen</t>
  </si>
  <si>
    <t>Jonas</t>
  </si>
  <si>
    <t>Diecast Classics Inc.</t>
  </si>
  <si>
    <t>7586 Pompton St.</t>
  </si>
  <si>
    <t>Allentown</t>
  </si>
  <si>
    <t>PA</t>
  </si>
  <si>
    <t>Kyung</t>
  </si>
  <si>
    <t>11/15/2004 0:00</t>
  </si>
  <si>
    <t>11/24/2004 0:00</t>
  </si>
  <si>
    <t>Salzburg Collectables</t>
  </si>
  <si>
    <t>6562-9555</t>
  </si>
  <si>
    <t>Geislweg 14</t>
  </si>
  <si>
    <t>Salzburg</t>
  </si>
  <si>
    <t>Austria</t>
  </si>
  <si>
    <t>Pipps</t>
  </si>
  <si>
    <t>Georg</t>
  </si>
  <si>
    <t>Large</t>
  </si>
  <si>
    <t>12/17/2004 0:00</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</si>
  <si>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</si>
  <si>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</si>
  <si>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</si>
  <si>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</si>
  <si>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</si>
  <si>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</si>
  <si>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</si>
  <si>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</si>
  <si>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</si>
  <si>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</si>
  <si>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</si>
  <si>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</si>
  <si>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</si>
  <si>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</si>
  <si>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</si>
  <si>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</si>
  <si>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</si>
  <si>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</si>
  <si>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</si>
  <si>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</si>
  <si>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</si>
  <si>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</si>
  <si>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</si>
  <si>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</si>
  <si>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</si>
  <si>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</si>
  <si>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</si>
  <si>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</si>
  <si>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</si>
  <si>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</si>
  <si>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</si>
  <si>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</si>
  <si>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</si>
  <si>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</si>
  <si>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</si>
  <si>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</si>
  <si>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</si>
  <si>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</si>
  <si>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</si>
  <si>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</si>
  <si>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</si>
  <si>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</si>
  <si>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</si>
  <si>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</si>
  <si>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</si>
  <si>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</si>
  <si>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Sommer</t>
  </si>
  <si>
    <t>Mart¡n</t>
  </si>
  <si>
    <t>7/24/2003 0:00</t>
  </si>
  <si>
    <t>9/19/2003 0:00</t>
  </si>
  <si>
    <t>Dragon Souveniers, Ltd.</t>
  </si>
  <si>
    <t>+65 221 7555</t>
  </si>
  <si>
    <t>Bronz Sok., Bronz Apt. 3/6 Tesvikiye</t>
  </si>
  <si>
    <t>Singapore</t>
  </si>
  <si>
    <t>Japan</t>
  </si>
  <si>
    <t>Natividad</t>
  </si>
  <si>
    <t>Eric</t>
  </si>
  <si>
    <t>10/20/2003 0:00</t>
  </si>
  <si>
    <t>Classic Legends Inc.</t>
  </si>
  <si>
    <t>5905 Pompton St.</t>
  </si>
  <si>
    <t>Suite 750</t>
  </si>
  <si>
    <t>Maria</t>
  </si>
  <si>
    <t>Australian Gift Network, Co</t>
  </si>
  <si>
    <t>61-7-3844-6555</t>
  </si>
  <si>
    <t>31 Duncan St. West End</t>
  </si>
  <si>
    <t>South Brisbane</t>
  </si>
  <si>
    <t>Queensland</t>
  </si>
  <si>
    <t>Calaghan</t>
  </si>
  <si>
    <t>Tony</t>
  </si>
  <si>
    <t>11/13/2003 0:00</t>
  </si>
  <si>
    <t>Classic Gift Ideas, Inc</t>
  </si>
  <si>
    <t>782 First Street</t>
  </si>
  <si>
    <t>Philadelphia</t>
  </si>
  <si>
    <t>Cervantes</t>
  </si>
  <si>
    <t>Francisca</t>
  </si>
  <si>
    <t>11/25/2003 0:00</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</si>
  <si>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</si>
  <si>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</si>
  <si>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</si>
  <si>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</si>
  <si>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</si>
  <si>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</si>
  <si>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</si>
  <si>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</si>
  <si>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</si>
  <si>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</si>
  <si>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</si>
  <si>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</si>
  <si>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</si>
  <si>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</si>
  <si>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</si>
  <si>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1/29/2004 0:00</t>
  </si>
  <si>
    <t>West Coast Collectables Co.</t>
  </si>
  <si>
    <t>3675 Furth Circle</t>
  </si>
  <si>
    <t>Burbank</t>
  </si>
  <si>
    <t>Thompson</t>
  </si>
  <si>
    <t>Steve</t>
  </si>
  <si>
    <t>Cambridge Collectables Co.</t>
  </si>
  <si>
    <t>4658 Baden Av.</t>
  </si>
  <si>
    <t>Tseng</t>
  </si>
  <si>
    <t>Super Scale Inc.</t>
  </si>
  <si>
    <t>567 North Pendale Street</t>
  </si>
  <si>
    <t>New Haven</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</si>
  <si>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</si>
  <si>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</si>
  <si>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</si>
  <si>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</si>
  <si>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</si>
  <si>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</si>
  <si>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</si>
  <si>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</si>
  <si>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</si>
  <si>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</si>
  <si>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</si>
  <si>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</si>
  <si>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</si>
  <si>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</si>
  <si>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</si>
  <si>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</si>
  <si>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</si>
  <si>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</si>
  <si>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</si>
  <si>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</si>
  <si>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</si>
  <si>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</si>
  <si>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</si>
  <si>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</si>
  <si>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</si>
  <si>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</si>
  <si>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</si>
  <si>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</si>
  <si>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</si>
  <si>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</si>
  <si>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10/21/2004 0:00</t>
  </si>
  <si>
    <t>Mini Gifts Distributors Ltd.</t>
  </si>
  <si>
    <t>5677 Strong St.</t>
  </si>
  <si>
    <t>San Rafael</t>
  </si>
  <si>
    <t>Nelson</t>
  </si>
  <si>
    <t>Valarie</t>
  </si>
  <si>
    <t>Online Diecast Creations Co.</t>
  </si>
  <si>
    <t>2304 Long Airport Avenue</t>
  </si>
  <si>
    <t>Nashua</t>
  </si>
  <si>
    <t>NH</t>
  </si>
  <si>
    <t>11/18/2004 0:00</t>
  </si>
  <si>
    <t>11/29/2004 0:00</t>
  </si>
  <si>
    <t>1/20/2005 0:00</t>
  </si>
  <si>
    <t>Collectables For Less Inc.</t>
  </si>
  <si>
    <t>7825 Douglas Av.</t>
  </si>
  <si>
    <t>Brickhaven</t>
  </si>
  <si>
    <t>Allen</t>
  </si>
  <si>
    <t>2/17/2005 0:00</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</si>
  <si>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</si>
  <si>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</si>
  <si>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</si>
  <si>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</si>
  <si>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</si>
  <si>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</si>
  <si>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</si>
  <si>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</si>
  <si>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</si>
  <si>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</si>
  <si>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</si>
  <si>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</si>
  <si>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</si>
  <si>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</si>
  <si>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</si>
  <si>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5/31/2005 0:00</t>
  </si>
  <si>
    <t>In Process</t>
  </si>
  <si>
    <t>4/29/2003 0:00</t>
  </si>
  <si>
    <t>S10_2016</t>
  </si>
  <si>
    <t>Osaka Souveniers Co.</t>
  </si>
  <si>
    <t>+81 06 6342 5555</t>
  </si>
  <si>
    <t>Dojima Avanza 4F, 1-6-20 Dojima, Kita-ku</t>
  </si>
  <si>
    <t>Osaka</t>
  </si>
  <si>
    <t>530-0003</t>
  </si>
  <si>
    <t>Kentary</t>
  </si>
  <si>
    <t>Mory</t>
  </si>
  <si>
    <t>Motor Mint Distributors Inc.</t>
  </si>
  <si>
    <t>11328 Douglas Av.</t>
  </si>
  <si>
    <t>Rosa</t>
  </si>
  <si>
    <t>9/27/2004 0:00</t>
  </si>
  <si>
    <t>Atelier graphique</t>
  </si>
  <si>
    <t>40.32.2555</t>
  </si>
  <si>
    <t>54, rue Royale</t>
  </si>
  <si>
    <t>Schmitt</t>
  </si>
  <si>
    <t>Carine</t>
  </si>
  <si>
    <t>Mini Classics</t>
  </si>
  <si>
    <t>3758 North Pendale Street</t>
  </si>
  <si>
    <t>White Plains</t>
  </si>
  <si>
    <t>11/23/2004 0:00</t>
  </si>
  <si>
    <t>S10_4698</t>
  </si>
  <si>
    <t>S10_4757</t>
  </si>
  <si>
    <t>Danish Wholesale Imports</t>
  </si>
  <si>
    <t>31 12 3555</t>
  </si>
  <si>
    <t>Vinb'ltet 34</t>
  </si>
  <si>
    <t>Kobenhavn</t>
  </si>
  <si>
    <t>Denmark</t>
  </si>
  <si>
    <t>Petersen</t>
  </si>
  <si>
    <t>Jytte</t>
  </si>
  <si>
    <t>4/28/2003 0:00</t>
  </si>
  <si>
    <t>Stylish Desk Decors, Co.</t>
  </si>
  <si>
    <t>(171) 555-0297</t>
  </si>
  <si>
    <t>35 King George</t>
  </si>
  <si>
    <t>London</t>
  </si>
  <si>
    <t>WX3 6FW</t>
  </si>
  <si>
    <t>Ann</t>
  </si>
  <si>
    <t>Mini Creations Ltd.</t>
  </si>
  <si>
    <t>4575 Hillside Dr.</t>
  </si>
  <si>
    <t>Tam</t>
  </si>
  <si>
    <t>Wing C</t>
  </si>
  <si>
    <t>10/23/2003 0:00</t>
  </si>
  <si>
    <t>Cancelled</t>
  </si>
  <si>
    <t>Alpha Cognac</t>
  </si>
  <si>
    <t>61.77.6555</t>
  </si>
  <si>
    <t>1 rue Alsace-Lorraine</t>
  </si>
  <si>
    <t>Toulouse</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</si>
  <si>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</si>
  <si>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</si>
  <si>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</si>
  <si>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</si>
  <si>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</si>
  <si>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</si>
  <si>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</si>
  <si>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</si>
  <si>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</si>
  <si>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</si>
  <si>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</si>
  <si>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</si>
  <si>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</si>
  <si>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</si>
  <si>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Saavedra</t>
  </si>
  <si>
    <t>Eduardo</t>
  </si>
  <si>
    <t>Men 'R' US Retailers, Ltd.</t>
  </si>
  <si>
    <t>6047 Douglas Av.</t>
  </si>
  <si>
    <t>Los Angeles</t>
  </si>
  <si>
    <t>Chandler</t>
  </si>
  <si>
    <t>2/19/2004 0:00</t>
  </si>
  <si>
    <t>Collectable Mini Designs Co.</t>
  </si>
  <si>
    <t>361 Furth Circle</t>
  </si>
  <si>
    <t>San Diego</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</si>
  <si>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</si>
  <si>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</si>
  <si>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</si>
  <si>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</si>
  <si>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</si>
  <si>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</si>
  <si>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</si>
  <si>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</si>
  <si>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</si>
  <si>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</si>
  <si>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</si>
  <si>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</si>
  <si>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</si>
  <si>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</si>
  <si>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</si>
  <si>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</si>
  <si>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</si>
  <si>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Gifts4AllAges.com</t>
  </si>
  <si>
    <t>8616 Spinnaker Dr.</t>
  </si>
  <si>
    <t>Boston</t>
  </si>
  <si>
    <t>Yoshido</t>
  </si>
  <si>
    <t>10/14/2004 0:00</t>
  </si>
  <si>
    <t>giftsbymail.co.uk</t>
  </si>
  <si>
    <t>(198) 555-8888</t>
  </si>
  <si>
    <t>Garden House Crowther Way</t>
  </si>
  <si>
    <t>Cowes</t>
  </si>
  <si>
    <t>Isle of Wight</t>
  </si>
  <si>
    <t>PO31 7PJ</t>
  </si>
  <si>
    <t>Bennett</t>
  </si>
  <si>
    <t>Helen</t>
  </si>
  <si>
    <t>11/21/2004 0:00</t>
  </si>
  <si>
    <t>12/15/2004 0:00</t>
  </si>
  <si>
    <t>1/31/2005 0:00</t>
  </si>
  <si>
    <t>Oulu Toy Supplies, Inc.</t>
  </si>
  <si>
    <t>981-443655</t>
  </si>
  <si>
    <t>Torikatu 38</t>
  </si>
  <si>
    <t>Oulu</t>
  </si>
  <si>
    <t>Koskitalo</t>
  </si>
  <si>
    <t>Pirkko</t>
  </si>
  <si>
    <t>2/23/2005 0:00</t>
  </si>
  <si>
    <t>3/17/2005 0:00</t>
  </si>
  <si>
    <t>The Sharp Gifts Warehouse</t>
  </si>
  <si>
    <t>3086 Ingle Ln.</t>
  </si>
  <si>
    <t>San Jose</t>
  </si>
  <si>
    <t>Sue</t>
  </si>
  <si>
    <t>On Hold</t>
  </si>
  <si>
    <t>S10_4962</t>
  </si>
  <si>
    <t>La Corne D'abondance, Co.</t>
  </si>
  <si>
    <t>(1) 42.34.2555</t>
  </si>
  <si>
    <t>265, boulevard Charonne</t>
  </si>
  <si>
    <t>Bertrand</t>
  </si>
  <si>
    <t>Marie</t>
  </si>
  <si>
    <t>10/21/2003 0:00</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</si>
  <si>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</si>
  <si>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</si>
  <si>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</si>
  <si>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</si>
  <si>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</si>
  <si>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</si>
  <si>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</si>
  <si>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</si>
  <si>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</si>
  <si>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</si>
  <si>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</si>
  <si>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</si>
  <si>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</si>
  <si>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</si>
  <si>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</si>
  <si>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</si>
  <si>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8/19/2004 0:00</t>
  </si>
  <si>
    <t>10/13/2004 0:00</t>
  </si>
  <si>
    <t>10/22/2004 0:00</t>
  </si>
  <si>
    <t>11/19/2004 0:00</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</si>
  <si>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</si>
  <si>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</si>
  <si>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</si>
  <si>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</si>
  <si>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</si>
  <si>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</si>
  <si>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</si>
  <si>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</si>
  <si>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</si>
  <si>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</si>
  <si>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</si>
  <si>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</si>
  <si>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</si>
  <si>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</si>
  <si>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</si>
  <si>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11/20/2003 0:00</t>
  </si>
  <si>
    <t>Toms Spezialitten, Ltd</t>
  </si>
  <si>
    <t>0221-5554327</t>
  </si>
  <si>
    <t>Mehrheimerstr. 369</t>
  </si>
  <si>
    <t>Koln</t>
  </si>
  <si>
    <t>Germany</t>
  </si>
  <si>
    <t>Pfalzheim</t>
  </si>
  <si>
    <t>Henriette</t>
  </si>
  <si>
    <t>2/22/2004 0:00</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</si>
  <si>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</si>
  <si>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</si>
  <si>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</si>
  <si>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</si>
  <si>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</si>
  <si>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</si>
  <si>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</si>
  <si>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</si>
  <si>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</si>
  <si>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</si>
  <si>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</si>
  <si>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</si>
  <si>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</si>
  <si>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</si>
  <si>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</si>
  <si>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</si>
  <si>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8/30/2004 0:00</t>
  </si>
  <si>
    <t>Blauer See Auto, Co.</t>
  </si>
  <si>
    <t>+49 69 66 90 2555</t>
  </si>
  <si>
    <t>Lyonerstr. 34</t>
  </si>
  <si>
    <t>Frankfurt</t>
  </si>
  <si>
    <t>Keitel</t>
  </si>
  <si>
    <t>10/16/2004 0:00</t>
  </si>
  <si>
    <t>Suominen Souveniers</t>
  </si>
  <si>
    <t>+358 9 8045 555</t>
  </si>
  <si>
    <t>Software Engineering Center, SEC Oy</t>
  </si>
  <si>
    <t>Espoo</t>
  </si>
  <si>
    <t>FIN-02271</t>
  </si>
  <si>
    <t>Suominen</t>
  </si>
  <si>
    <t>Kalle</t>
  </si>
  <si>
    <t>5/17/2005 0:00</t>
  </si>
  <si>
    <t>4/16/2003 0:00</t>
  </si>
  <si>
    <t>S12_1108</t>
  </si>
  <si>
    <t>Muscle Machine Inc</t>
  </si>
  <si>
    <t>4092 Furth Circle</t>
  </si>
  <si>
    <t>Suite 400</t>
  </si>
  <si>
    <t>Jeff</t>
  </si>
  <si>
    <t>9/28/2003 0:00</t>
  </si>
  <si>
    <t>10/22/2003 0:00</t>
  </si>
  <si>
    <t>Clover Collections, Co.</t>
  </si>
  <si>
    <t>+353 1862 1555</t>
  </si>
  <si>
    <t>25 Maiden Lane</t>
  </si>
  <si>
    <t>Floor No. 4</t>
  </si>
  <si>
    <t>Dublin</t>
  </si>
  <si>
    <t>Ireland</t>
  </si>
  <si>
    <t>Cassidy</t>
  </si>
  <si>
    <t>Dean</t>
  </si>
  <si>
    <t>3/19/2004 0:00</t>
  </si>
  <si>
    <t>CAF Imports</t>
  </si>
  <si>
    <t>+34 913 728 555</t>
  </si>
  <si>
    <t>Merchants House, 27-30 Merchant's Quay</t>
  </si>
  <si>
    <t>Fernandez</t>
  </si>
  <si>
    <t>Jesus</t>
  </si>
  <si>
    <t>7/20/2004 0:00</t>
  </si>
  <si>
    <t>AV Stores, Co.</t>
  </si>
  <si>
    <t>(171) 555-1555</t>
  </si>
  <si>
    <t>Fauntleroy Circus</t>
  </si>
  <si>
    <t>Manchester</t>
  </si>
  <si>
    <t>EC2 5NT</t>
  </si>
  <si>
    <t>Ashworth</t>
  </si>
  <si>
    <t>Heintze Collectables</t>
  </si>
  <si>
    <t>86 21 3555</t>
  </si>
  <si>
    <t>Smagsloget 45</t>
  </si>
  <si>
    <t>Aaarhus</t>
  </si>
  <si>
    <t>Ibsen</t>
  </si>
  <si>
    <t>Palle</t>
  </si>
  <si>
    <t>11/20/2004 0:00</t>
  </si>
  <si>
    <t>1/23/2005 0:00</t>
  </si>
  <si>
    <t>3/26/2003 0:00</t>
  </si>
  <si>
    <t>Trucks and Buses</t>
  </si>
  <si>
    <t>S12_1666</t>
  </si>
  <si>
    <t>S12_2823</t>
  </si>
  <si>
    <t>2/21/2004 0:00</t>
  </si>
  <si>
    <t>Microscale Inc.</t>
  </si>
  <si>
    <t>5290 North Pendale Street</t>
  </si>
  <si>
    <t>Suite 200</t>
  </si>
  <si>
    <t>Kuo</t>
  </si>
  <si>
    <t>Kee</t>
  </si>
  <si>
    <t>1/31/2003 0:00</t>
  </si>
  <si>
    <t>S12_3148</t>
  </si>
  <si>
    <t>3/15/2004 0:00</t>
  </si>
  <si>
    <t>1/26/2005 0:00</t>
  </si>
  <si>
    <t>S12_3380</t>
  </si>
  <si>
    <t>1/16/2004 0:00</t>
  </si>
  <si>
    <t>Boards &amp; Toys Co.</t>
  </si>
  <si>
    <t>4097 Douglas Av.</t>
  </si>
  <si>
    <t>Glendale</t>
  </si>
  <si>
    <t>S12_3891</t>
  </si>
  <si>
    <t>3/23/2005 0:00</t>
  </si>
  <si>
    <t>S12_3990</t>
  </si>
  <si>
    <t>S12_4473</t>
  </si>
  <si>
    <t>9/21/2003 0:00</t>
  </si>
  <si>
    <t>Iberia Gift Imports, Corp.</t>
  </si>
  <si>
    <t>(95) 555 82 82</t>
  </si>
  <si>
    <t>C/ Romero, 33</t>
  </si>
  <si>
    <t>Sevilla</t>
  </si>
  <si>
    <t>Roel</t>
  </si>
  <si>
    <t>Jose Pedro</t>
  </si>
  <si>
    <t>Signal Collectibles Ltd.</t>
  </si>
  <si>
    <t>2793 Furth Circle</t>
  </si>
  <si>
    <t>Brisbane</t>
  </si>
  <si>
    <t>Taylor</t>
  </si>
  <si>
    <t>S12_4675</t>
  </si>
  <si>
    <t>4/14/2005 0:00</t>
  </si>
  <si>
    <t>Mini Caravy</t>
  </si>
  <si>
    <t>88.60.1555</t>
  </si>
  <si>
    <t>24, place Kluber</t>
  </si>
  <si>
    <t>Strasbourg</t>
  </si>
  <si>
    <t>Citeaux</t>
  </si>
  <si>
    <t>Frederique</t>
  </si>
  <si>
    <t>S18_1129</t>
  </si>
  <si>
    <t>10/17/2003 0:00</t>
  </si>
  <si>
    <t>4/13/2004 0:00</t>
  </si>
  <si>
    <t>Signal Gift Stores</t>
  </si>
  <si>
    <t>8489 Strong St.</t>
  </si>
  <si>
    <t>Las Vegas</t>
  </si>
  <si>
    <t>NV</t>
  </si>
  <si>
    <t>Norway Gifts By Mail, Co.</t>
  </si>
  <si>
    <t>+47 2212 1555</t>
  </si>
  <si>
    <t>Drammensveien 126 A, PB 744 Sentrum</t>
  </si>
  <si>
    <t>Oslo</t>
  </si>
  <si>
    <t>N 0106</t>
  </si>
  <si>
    <t>Klaeboe</t>
  </si>
  <si>
    <t>Jan</t>
  </si>
  <si>
    <t>11/17/2004 0:00</t>
  </si>
  <si>
    <t>4/15/2005 0:00</t>
  </si>
  <si>
    <t>Vintage Cars</t>
  </si>
  <si>
    <t>S18_1342</t>
  </si>
  <si>
    <t>3/25/2003 0:00</t>
  </si>
  <si>
    <t>5/21/2003 0:00</t>
  </si>
  <si>
    <t>7/16/2003 0:00</t>
  </si>
  <si>
    <t>10/18/2003 0:00</t>
  </si>
  <si>
    <t>Rovelli Gifts</t>
  </si>
  <si>
    <t>035-640555</t>
  </si>
  <si>
    <t>Via Ludovico il Moro 22</t>
  </si>
  <si>
    <t>Bergamo</t>
  </si>
  <si>
    <t>Rovelli</t>
  </si>
  <si>
    <t>Giovanni</t>
  </si>
  <si>
    <t>11/21/2003 0:00</t>
  </si>
  <si>
    <t>Australian Collectables, Ltd</t>
  </si>
  <si>
    <t>61-9-3844-6555</t>
  </si>
  <si>
    <t>7 Allen Street</t>
  </si>
  <si>
    <t>Glen Waverly</t>
  </si>
  <si>
    <t>Connery</t>
  </si>
  <si>
    <t>Sean</t>
  </si>
  <si>
    <t>4/29/2004 0:00</t>
  </si>
  <si>
    <t>2/16/2005 0:00</t>
  </si>
  <si>
    <t>5/30/2005 0:00</t>
  </si>
  <si>
    <t>3/18/2003 0:00</t>
  </si>
  <si>
    <t>S18_1589</t>
  </si>
  <si>
    <t>5/20/2003 0:00</t>
  </si>
  <si>
    <t>2/26/2004 0:00</t>
  </si>
  <si>
    <t>4/22/2005 0:00</t>
  </si>
  <si>
    <t>2/17/2003 0:00</t>
  </si>
  <si>
    <t>Planes</t>
  </si>
  <si>
    <t>S18_1662</t>
  </si>
  <si>
    <t>6/16/2003 0:00</t>
  </si>
  <si>
    <t>Gift Ideas Corp.</t>
  </si>
  <si>
    <t>2440 Pompton St.</t>
  </si>
  <si>
    <t>Lewis</t>
  </si>
  <si>
    <t>Dan</t>
  </si>
  <si>
    <t>11/27/2003 0:00</t>
  </si>
  <si>
    <t>6/24/2004 0:00</t>
  </si>
  <si>
    <t>8/21/2004 0:00</t>
  </si>
  <si>
    <t>9/15/2004 0:00</t>
  </si>
  <si>
    <t>Bavarian Collectables Imports, Co.</t>
  </si>
  <si>
    <t>+49 89 61 08 9555</t>
  </si>
  <si>
    <t>Hansastr. 15</t>
  </si>
  <si>
    <t>Munich</t>
  </si>
  <si>
    <t>Donnermeyer</t>
  </si>
  <si>
    <t>11/22/2004 0:00</t>
  </si>
  <si>
    <t>Royale Belge</t>
  </si>
  <si>
    <t>(071) 23 67 2555</t>
  </si>
  <si>
    <t>Boulevard Tirou, 255</t>
  </si>
  <si>
    <t>Charleroi</t>
  </si>
  <si>
    <t>B-6000</t>
  </si>
  <si>
    <t>Cartrain</t>
  </si>
  <si>
    <t>Pascale</t>
  </si>
  <si>
    <t>3/30/2005 0:00</t>
  </si>
  <si>
    <t>S18_1749</t>
  </si>
  <si>
    <t>1/26/2004 0:00</t>
  </si>
  <si>
    <t>11/25/2004 0:00</t>
  </si>
  <si>
    <t>5/29/2005 0:00</t>
  </si>
  <si>
    <t>S18_1984</t>
  </si>
  <si>
    <t>S18_2248</t>
  </si>
  <si>
    <t>2/22/2005 0:00</t>
  </si>
  <si>
    <t>S18_2319</t>
  </si>
  <si>
    <t>S18_2325</t>
  </si>
  <si>
    <t>4/26/2004 0:00</t>
  </si>
  <si>
    <t>4/23/2005 0:00</t>
  </si>
  <si>
    <t>6/27/2003 0:00</t>
  </si>
  <si>
    <t>S18_2581</t>
  </si>
  <si>
    <t>9/16/2004 0:00</t>
  </si>
  <si>
    <t>S18_2795</t>
  </si>
  <si>
    <t>6/14/2004 0:00</t>
  </si>
  <si>
    <t>S18_2949</t>
  </si>
  <si>
    <t>7/16/2004 0:00</t>
  </si>
  <si>
    <t>S18_2957</t>
  </si>
  <si>
    <t>Ships</t>
  </si>
  <si>
    <t>S18_3029</t>
  </si>
  <si>
    <t>Auto-Moto Classics Inc.</t>
  </si>
  <si>
    <t>16780 Pompton St.</t>
  </si>
  <si>
    <t>S18_3140</t>
  </si>
  <si>
    <t>2/18/2004 0:00</t>
  </si>
  <si>
    <t>3/20/2004 0:00</t>
  </si>
  <si>
    <t>3/15/2005 0:00</t>
  </si>
  <si>
    <t>S18_3232</t>
  </si>
  <si>
    <t>Trains</t>
  </si>
  <si>
    <t>S18_3259</t>
  </si>
  <si>
    <t>5/26/2004 0:00</t>
  </si>
  <si>
    <t>S18_3278</t>
  </si>
  <si>
    <t>S18_3320</t>
  </si>
  <si>
    <t>11/16/2004 0:00</t>
  </si>
  <si>
    <t>S18_3482</t>
  </si>
  <si>
    <t>S18_3782</t>
  </si>
  <si>
    <t>6/30/2004 0:00</t>
  </si>
  <si>
    <t>8/28/2004 0:00</t>
  </si>
  <si>
    <t>S18_3856</t>
  </si>
  <si>
    <t>9/25/2003 0:00</t>
  </si>
  <si>
    <t>S18_4027</t>
  </si>
  <si>
    <t>1/22/2004 0:00</t>
  </si>
  <si>
    <t>S18_4409</t>
  </si>
  <si>
    <t>10/29/2004 0:00</t>
  </si>
  <si>
    <t>S18_4522</t>
  </si>
  <si>
    <t>S18_4933</t>
  </si>
  <si>
    <t>S24_2000</t>
  </si>
  <si>
    <t>S24_2022</t>
  </si>
  <si>
    <t>11/19/2003 0:00</t>
  </si>
  <si>
    <t>S24_2360</t>
  </si>
  <si>
    <t>1/19/2005 0:00</t>
  </si>
  <si>
    <t>S24_2766</t>
  </si>
  <si>
    <t>S24_2840</t>
  </si>
  <si>
    <t>S24_3151</t>
  </si>
  <si>
    <t>3/29/2004 0:00</t>
  </si>
  <si>
    <t>2/28/2005 0:00</t>
  </si>
  <si>
    <t>S24_3816</t>
  </si>
  <si>
    <t>4/20/2004 0:00</t>
  </si>
  <si>
    <t>S24_3969</t>
  </si>
  <si>
    <t>S24_4278</t>
  </si>
  <si>
    <t>S32_1374</t>
  </si>
  <si>
    <t>S32_2206</t>
  </si>
  <si>
    <t>S32_3207</t>
  </si>
  <si>
    <t>8/13/2003 0:00</t>
  </si>
  <si>
    <t>S32_4289</t>
  </si>
  <si>
    <t>S50_1341</t>
  </si>
  <si>
    <t>3/28/2005 0:00</t>
  </si>
  <si>
    <t>S700_1938</t>
  </si>
  <si>
    <t>S700_2047</t>
  </si>
  <si>
    <t>4/21/2003 0:00</t>
  </si>
  <si>
    <t>S700_3505</t>
  </si>
  <si>
    <t>S700_3962</t>
  </si>
  <si>
    <t>N/A</t>
  </si>
  <si>
    <t>Month</t>
  </si>
  <si>
    <t>Year</t>
  </si>
  <si>
    <t>Sale Categeory</t>
  </si>
  <si>
    <t>Order Sales</t>
  </si>
  <si>
    <t>Total Sales</t>
  </si>
  <si>
    <t>Average Sales</t>
  </si>
  <si>
    <t>Max Sales</t>
  </si>
  <si>
    <t>Min Sales</t>
  </si>
  <si>
    <t>(blank)</t>
  </si>
  <si>
    <t>Grand Total</t>
  </si>
  <si>
    <t>Sum of SALES</t>
  </si>
  <si>
    <t>Feb</t>
  </si>
  <si>
    <t>Mar</t>
  </si>
  <si>
    <t>Apr</t>
  </si>
  <si>
    <t>May</t>
  </si>
  <si>
    <t>Jun</t>
  </si>
  <si>
    <t>Jul</t>
  </si>
  <si>
    <t>Aug</t>
  </si>
  <si>
    <t>Sep</t>
  </si>
  <si>
    <t>Oct</t>
  </si>
  <si>
    <t>Nov</t>
  </si>
  <si>
    <t>Dec</t>
  </si>
  <si>
    <t>Country</t>
  </si>
  <si>
    <t>Product Line</t>
  </si>
  <si>
    <t>Avg Qty Order</t>
  </si>
  <si>
    <t>Total Qty Order</t>
  </si>
  <si>
    <t>Avg Sales</t>
  </si>
  <si>
    <t>Column Labels</t>
  </si>
  <si>
    <t>Count of ORDERNUMBER</t>
  </si>
  <si>
    <t>Sales Analysis Dasboard</t>
  </si>
  <si>
    <t>Total Sales in Country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</si>
</sst>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1"/>
      <name val="Agency FB"/>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2" tint="-0.249977111117893"/>
        <bgColor indexed="64"/>
      </patternFill>
    </fill>
    <fill>
      <patternFill patternType="solid">
        <fgColor theme="8"/>
        <bgColor indexed="64"/>
      </patternFill>
    </fill>
    <fill>
      <patternFill patternType="solid">
        <fgColor theme="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22" fontId="0" fillId="0" borderId="0" xfId="0" applyNumberFormat="1"/>
    <xf numFmtId="14" fontId="0" fillId="0" borderId="0" xfId="0" applyNumberFormat="1" applyAlignment="1">
      <alignment horizontal="center"/>
    </xf>
    <xf numFmtId="0" fontId="16" fillId="0" borderId="0" xfId="0" applyFont="1"/>
    <xf numFmtId="0" fontId="0" fillId="33" borderId="0" xfId="0" applyFill="1" applyAlignment="1">
      <alignment horizontal="center"/>
    </xf>
    <xf numFmtId="0" fontId="0" fillId="0" borderId="0" xfId="0" pivotButton="1"/>
    <xf numFmtId="0" fontId="0" fillId="0" borderId="0" xfId="0" applyAlignment="1">
      <alignment horizontal="left"/>
    </xf>
    <xf numFmtId="0" fontId="0" fillId="0" borderId="10" xfId="0" applyBorder="1"/>
    <xf numFmtId="0" fontId="0" fillId="38" borderId="0" xfId="0" applyFill="1"/>
    <xf numFmtId="0" fontId="16" fillId="34" borderId="11" xfId="0" applyFont="1" applyFill="1" applyBorder="1" applyAlignment="1">
      <alignment horizontal="center"/>
    </xf>
    <xf numFmtId="0" fontId="16" fillId="34" borderId="12" xfId="0" applyFont="1" applyFill="1" applyBorder="1" applyAlignment="1">
      <alignment horizontal="center"/>
    </xf>
    <xf numFmtId="0" fontId="16" fillId="35" borderId="11" xfId="0" applyFont="1" applyFill="1" applyBorder="1" applyAlignment="1">
      <alignment horizontal="center"/>
    </xf>
    <xf numFmtId="0" fontId="16" fillId="35" borderId="12" xfId="0" applyFont="1" applyFill="1" applyBorder="1" applyAlignment="1">
      <alignment horizontal="center"/>
    </xf>
    <xf numFmtId="0" fontId="16" fillId="36" borderId="11" xfId="0" applyFont="1" applyFill="1" applyBorder="1" applyAlignment="1">
      <alignment horizontal="center"/>
    </xf>
    <xf numFmtId="0" fontId="16" fillId="36" borderId="12" xfId="0" applyFont="1" applyFill="1" applyBorder="1" applyAlignment="1">
      <alignment horizontal="center"/>
    </xf>
    <xf numFmtId="0" fontId="16" fillId="37" borderId="11" xfId="0" applyFont="1" applyFill="1" applyBorder="1" applyAlignment="1">
      <alignment horizontal="center"/>
    </xf>
    <xf numFmtId="0" fontId="16" fillId="37" borderId="12" xfId="0" applyFont="1" applyFill="1" applyBorder="1" applyAlignment="1">
      <alignment horizontal="center"/>
    </xf>
    <xf numFmtId="0" fontId="16" fillId="39" borderId="10" xfId="0" applyFont="1" applyFill="1" applyBorder="1" applyAlignment="1">
      <alignment horizontal="center"/>
    </xf>
    <xf numFmtId="0" fontId="18" fillId="38"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[sales_data_sample_project.csv.xlsx]Pivot Table!PivotTable2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Table'!$G$2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BA-4E94-BFB1-33D4D953588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9BA-4E94-BFB1-33D4D953588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BA-4E94-BFB1-33D4D953588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9BA-4E94-BFB1-33D4D953588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BA-4E94-BFB1-33D4D953588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9BA-4E94-BFB1-33D4D953588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9BA-4E94-BFB1-33D4D953588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9BA-4E94-BFB1-33D4D953588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9BA-4E94-BFB1-33D4D953588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29BA-4E94-BFB1-33D4D9535888}"/>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9BA-4E94-BFB1-33D4D9535888}"/>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29BA-4E94-BFB1-33D4D9535888}"/>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9BA-4E94-BFB1-33D4D9535888}"/>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29BA-4E94-BFB1-33D4D9535888}"/>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9BA-4E94-BFB1-33D4D9535888}"/>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29BA-4E94-BFB1-33D4D9535888}"/>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9BA-4E94-BFB1-33D4D9535888}"/>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29BA-4E94-BFB1-33D4D9535888}"/>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9BA-4E94-BFB1-33D4D9535888}"/>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29BA-4E94-BFB1-33D4D9535888}"/>
              </c:ext>
            </c:extLst>
          </c:dPt>
          <c:cat>
            <c:strRef>
              <c:f>'Pivot Table'!$F$3:$F$23</c:f>
              <c:strCache>
                <c:ptCount val="20"/>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pt idx="19">
                  <c:v>(blank)</c:v>
                </c:pt>
              </c:strCache>
            </c:strRef>
          </c:cat>
          <c:val>
            <c:numRef>
              <c:f>'Pivot Table'!$G$3:$G$23</c:f>
              <c:numCache>
                <c:formatCode>General</c:formatCode>
                <c:ptCount val="20"/>
                <c:pt idx="0">
                  <c:v>78724.680000000008</c:v>
                </c:pt>
                <c:pt idx="1">
                  <c:v>27942.6</c:v>
                </c:pt>
                <c:pt idx="2">
                  <c:v>21988.67</c:v>
                </c:pt>
                <c:pt idx="3">
                  <c:v>32586.080000000002</c:v>
                </c:pt>
                <c:pt idx="4">
                  <c:v>39151.18</c:v>
                </c:pt>
                <c:pt idx="5">
                  <c:v>33648.299999999996</c:v>
                </c:pt>
                <c:pt idx="6">
                  <c:v>161203.70000000001</c:v>
                </c:pt>
                <c:pt idx="7">
                  <c:v>35784.47</c:v>
                </c:pt>
                <c:pt idx="8">
                  <c:v>9251.1899999999987</c:v>
                </c:pt>
                <c:pt idx="9">
                  <c:v>51544.439999999995</c:v>
                </c:pt>
                <c:pt idx="10">
                  <c:v>25491.37</c:v>
                </c:pt>
                <c:pt idx="11">
                  <c:v>41482.370000000003</c:v>
                </c:pt>
                <c:pt idx="12">
                  <c:v>17154.349999999999</c:v>
                </c:pt>
                <c:pt idx="13">
                  <c:v>47702.18</c:v>
                </c:pt>
                <c:pt idx="14">
                  <c:v>157078.92000000001</c:v>
                </c:pt>
                <c:pt idx="15">
                  <c:v>36716.409999999996</c:v>
                </c:pt>
                <c:pt idx="16">
                  <c:v>7950.15</c:v>
                </c:pt>
                <c:pt idx="17">
                  <c:v>58880.53</c:v>
                </c:pt>
                <c:pt idx="18">
                  <c:v>524383.89</c:v>
                </c:pt>
              </c:numCache>
            </c:numRef>
          </c:val>
          <c:extLst>
            <c:ext xmlns:c16="http://schemas.microsoft.com/office/drawing/2014/chart" uri="{C3380CC4-5D6E-409C-BE32-E72D297353CC}">
              <c16:uniqueId val="{00000000-29BA-4E94-BFB1-33D4D953588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[sales_data_sample_project.csv.xlsx]Pivot Table!PivotTable7</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Table'!$D$13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Table'!$C$14:$C$27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Table'!$D$14:$D$27</c:f>
              <c:numCache>
                <c:formatCode>General</c:formatCode>
                <c:ptCount val="13"/>
                <c:pt idx="0">
                  <c:v>109979.68999999999</c:v>
                </c:pt>
                <c:pt idx="1">
                  <c:v>114294.27000000002</c:v>
                </c:pt>
                <c:pt idx="2">
                  <c:v>106581.90000000002</c:v>
                </c:pt>
                <c:pt idx="3">
                  <c:v>112145.02999999998</c:v>
                </c:pt>
                <c:pt idx="4">
                  <c:v>146003.9</c:v>
                </c:pt>
                <c:pt idx="5">
                  <c:v>74518.270000000019</c:v>
                </c:pt>
                <c:pt idx="6">
                  <c:v>76429.62</c:v>
                </c:pt>
                <c:pt idx="7">
                  <c:v>80698.98</c:v>
                </c:pt>
                <c:pt idx="8">
                  <c:v>94750.5</c:v>
                </c:pt>
                <c:pt idx="9">
                  <c:v>156925.06999999998</c:v>
                </c:pt>
                <c:pt idx="10">
                  <c:v>270092.26</c:v>
                </c:pt>
                <c:pt idx="11">
                  <c:v>66245.990000000005</c:v>
                </c:pt>
              </c:numCache>
            </c:numRef>
          </c:val>
          <c:extLst>
            <c:ext xmlns:c16="http://schemas.microsoft.com/office/drawing/2014/chart" uri="{C3380CC4-5D6E-409C-BE32-E72D297353CC}">
              <c16:uniqueId val="{00000000-952E-483C-9225-F9744F08710F}"/>
            </c:ext>
          </c:extLst>
        </c:ser>
        <c:dLbls>
          <c:showLegendKey val="0"/>
          <c:showVal val="0"/>
          <c:showCatName val="0"/>
          <c:showSerName val="0"/>
          <c:showPercent val="0"/>
          <c:showBubbleSize val="0"/>
        </c:dLbls>
        <c:gapWidth val="150"/>
        <c:shape val="box"/>
        <c:axId val="853378032"/>
        <c:axId val="853375152"/>
        <c:axId val="0"/>
      </c:bar3DChart>
      <c:catAx>
        <c:axId val="853378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375152"/>
        <c:crosses val="autoZero"/>
        <c:auto val="1"/>
        <c:lblAlgn val="ctr"/>
        <c:lblOffset val="100"/>
        <c:noMultiLvlLbl val="0"/>
      </c:catAx>
      <c:valAx>
        <c:axId val="85337515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337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[sales_data_sample_project.csv.xlsx]Pivot Table!PivotTable3</c:name>
    <c:fmtId val="7"/>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Table'!$J$2</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'Pivot Table'!$I$3:$I$11</c:f>
              <c:strCache>
                <c:ptCount val="8"/>
                <c:pt idx="0">
                  <c:v>Classic Cars</c:v>
                </c:pt>
                <c:pt idx="1">
                  <c:v>Motorcycles</c:v>
                </c:pt>
                <c:pt idx="2">
                  <c:v>Planes</c:v>
                </c:pt>
                <c:pt idx="3">
                  <c:v>Ships</c:v>
                </c:pt>
                <c:pt idx="4">
                  <c:v>Trains</c:v>
                </c:pt>
                <c:pt idx="5">
                  <c:v>Trucks and Buses</c:v>
                </c:pt>
                <c:pt idx="6">
                  <c:v>Vintage Cars</c:v>
                </c:pt>
                <c:pt idx="7">
                  <c:v>(blank)</c:v>
                </c:pt>
              </c:strCache>
            </c:strRef>
          </c:cat>
          <c:val>
            <c:numRef>
              <c:f>'Pivot Table'!$J$3:$J$11</c:f>
              <c:numCache>
                <c:formatCode>General</c:formatCode>
                <c:ptCount val="8"/>
                <c:pt idx="0">
                  <c:v>862876.90000000061</c:v>
                </c:pt>
                <c:pt idx="1">
                  <c:v>169340.02</c:v>
                </c:pt>
                <c:pt idx="2">
                  <c:v>87578.14</c:v>
                </c:pt>
                <c:pt idx="3">
                  <c:v>17695.669999999998</c:v>
                </c:pt>
                <c:pt idx="4">
                  <c:v>5518.94</c:v>
                </c:pt>
                <c:pt idx="5">
                  <c:v>56311.839999999989</c:v>
                </c:pt>
                <c:pt idx="6">
                  <c:v>209343.97</c:v>
                </c:pt>
              </c:numCache>
            </c:numRef>
          </c:val>
          <c:extLst>
            <c:ext xmlns:c16="http://schemas.microsoft.com/office/drawing/2014/chart" uri="{C3380CC4-5D6E-409C-BE32-E72D297353CC}">
              <c16:uniqueId val="{00000000-495E-4F2B-A0B0-202CF501D04C}"/>
            </c:ext>
          </c:extLst>
        </c:ser>
        <c:dLbls>
          <c:showLegendKey val="0"/>
          <c:showVal val="0"/>
          <c:showCatName val="0"/>
          <c:showSerName val="0"/>
          <c:showPercent val="0"/>
          <c:showBubbleSize val="0"/>
        </c:dLbls>
        <c:gapWidth val="84"/>
        <c:gapDepth val="53"/>
        <c:shape val="box"/>
        <c:axId val="1427142288"/>
        <c:axId val="1427136528"/>
        <c:axId val="0"/>
      </c:bar3DChart>
      <c:catAx>
        <c:axId val="14271422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7136528"/>
        <c:crosses val="autoZero"/>
        <c:auto val="1"/>
        <c:lblAlgn val="ctr"/>
        <c:lblOffset val="100"/>
        <c:noMultiLvlLbl val="0"/>
      </c:catAx>
      <c:valAx>
        <c:axId val="14271365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714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[sales_data_sample_project.csv.xlsx]Pivot Table!PivotTable6</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Table'!$J$13:$J$14</c:f>
              <c:strCache>
                <c:ptCount val="1"/>
                <c:pt idx="0">
                  <c:v>2003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Table'!$I$15:$I$19</c:f>
              <c:strCache>
                <c:ptCount val="4"/>
                <c:pt idx="0">
                  <c:v>1</c:v>
                </c:pt>
                <c:pt idx="1">
                  <c:v>2</c:v>
                </c:pt>
                <c:pt idx="2">
                  <c:v>3</c:v>
                </c:pt>
                <c:pt idx="3">
                  <c:v>4</c:v>
                </c:pt>
              </c:strCache>
            </c:strRef>
          </c:cat>
          <c:val>
            <c:numRef>
              <c:f>'Pivot Table'!$J$15:$J$19</c:f>
              <c:numCache>
                <c:formatCode>General</c:formatCode>
                <c:ptCount val="4"/>
                <c:pt idx="0">
                  <c:v>69453.570000000007</c:v>
                </c:pt>
                <c:pt idx="1">
                  <c:v>87922.810000000012</c:v>
                </c:pt>
                <c:pt idx="2">
                  <c:v>96382.030000000013</c:v>
                </c:pt>
                <c:pt idx="3">
                  <c:v>250530.6</c:v>
                </c:pt>
              </c:numCache>
            </c:numRef>
          </c:val>
          <c:extLst>
            <c:ext xmlns:c16="http://schemas.microsoft.com/office/drawing/2014/chart" uri="{C3380CC4-5D6E-409C-BE32-E72D297353CC}">
              <c16:uniqueId val="{00000000-FFC1-4047-A9BE-BDF395B0FE66}"/>
            </c:ext>
          </c:extLst>
        </c:ser>
        <c:ser>
          <c:idx val="1"/>
          <c:order val="1"/>
          <c:tx>
            <c:strRef>
              <c:f>'Pivot Table'!$K$13:$K$14</c:f>
              <c:strCache>
                <c:ptCount val="1"/>
                <c:pt idx="0">
                  <c:v>2004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Table'!$I$15:$I$19</c:f>
              <c:strCache>
                <c:ptCount val="4"/>
                <c:pt idx="0">
                  <c:v>1</c:v>
                </c:pt>
                <c:pt idx="1">
                  <c:v>2</c:v>
                </c:pt>
                <c:pt idx="2">
                  <c:v>3</c:v>
                </c:pt>
                <c:pt idx="3">
                  <c:v>4</c:v>
                </c:pt>
              </c:strCache>
            </c:strRef>
          </c:cat>
          <c:val>
            <c:numRef>
              <c:f>'Pivot Table'!$K$15:$K$19</c:f>
              <c:numCache>
                <c:formatCode>General</c:formatCode>
                <c:ptCount val="4"/>
                <c:pt idx="0">
                  <c:v>134743.13</c:v>
                </c:pt>
                <c:pt idx="1">
                  <c:v>121869.99</c:v>
                </c:pt>
                <c:pt idx="2">
                  <c:v>155497.07000000004</c:v>
                </c:pt>
                <c:pt idx="3">
                  <c:v>242732.72000000003</c:v>
                </c:pt>
              </c:numCache>
            </c:numRef>
          </c:val>
          <c:extLst>
            <c:ext xmlns:c16="http://schemas.microsoft.com/office/drawing/2014/chart" uri="{C3380CC4-5D6E-409C-BE32-E72D297353CC}">
              <c16:uniqueId val="{00000001-FFC1-4047-A9BE-BDF395B0FE66}"/>
            </c:ext>
          </c:extLst>
        </c:ser>
        <c:ser>
          <c:idx val="2"/>
          <c:order val="2"/>
          <c:tx>
            <c:strRef>
              <c:f>'Pivot Table'!$L$13:$L$14</c:f>
              <c:strCache>
                <c:ptCount val="1"/>
                <c:pt idx="0">
                  <c:v>2005</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Table'!$I$15:$I$19</c:f>
              <c:strCache>
                <c:ptCount val="4"/>
                <c:pt idx="0">
                  <c:v>1</c:v>
                </c:pt>
                <c:pt idx="1">
                  <c:v>2</c:v>
                </c:pt>
                <c:pt idx="2">
                  <c:v>3</c:v>
                </c:pt>
                <c:pt idx="3">
                  <c:v>4</c:v>
                </c:pt>
              </c:strCache>
            </c:strRef>
          </c:cat>
          <c:val>
            <c:numRef>
              <c:f>'Pivot Table'!$L$15:$L$19</c:f>
              <c:numCache>
                <c:formatCode>General</c:formatCode>
                <c:ptCount val="4"/>
                <c:pt idx="0">
                  <c:v>126659.16</c:v>
                </c:pt>
                <c:pt idx="1">
                  <c:v>122874.40000000001</c:v>
                </c:pt>
              </c:numCache>
            </c:numRef>
          </c:val>
          <c:extLst>
            <c:ext xmlns:c16="http://schemas.microsoft.com/office/drawing/2014/chart" uri="{C3380CC4-5D6E-409C-BE32-E72D297353CC}">
              <c16:uniqueId val="{00000002-FFC1-4047-A9BE-BDF395B0FE66}"/>
            </c:ext>
          </c:extLst>
        </c:ser>
        <c:dLbls>
          <c:showLegendKey val="0"/>
          <c:showVal val="0"/>
          <c:showCatName val="0"/>
          <c:showSerName val="0"/>
          <c:showPercent val="0"/>
          <c:showBubbleSize val="0"/>
        </c:dLbls>
        <c:gapWidth val="115"/>
        <c:overlap val="-20"/>
        <c:axId val="1377682480"/>
        <c:axId val="1377699280"/>
      </c:barChart>
      <c:catAx>
        <c:axId val="13776824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699280"/>
        <c:crosses val="autoZero"/>
        <c:auto val="1"/>
        <c:lblAlgn val="ctr"/>
        <c:lblOffset val="100"/>
        <c:noMultiLvlLbl val="0"/>
      </c:catAx>
      <c:valAx>
        <c:axId val="13776992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68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30480</xdr:colOff>
      <xdr:row>11</xdr:row>
      <xdr:rowOff>160020</xdr:rowOff>
    </xdr:from>
    <xdr:to>
      <xdr:col>9</xdr:col>
      <xdr:colOff>335280</xdr:colOff>
      <xdr:row>26</xdr:row>
      <xdr:rowOff>160020</xdr:rowOff>
    </xdr:to>
    <xdr:graphicFrame macro="">
      <xdr:nvGraphicFramePr>
        <xdr:cNvPr id="2" name="Chart 1">
          <a:extLst>
            <a:ext uri="{FF2B5EF4-FFF2-40B4-BE49-F238E27FC236}">
              <a16:creationId xmlns:a16="http://schemas.microsoft.com/office/drawing/2014/main" id="{1A5DD7E7-D38C-4A0F-8250-640283586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457200</xdr:colOff>
      <xdr:row>28</xdr:row>
      <xdr:rowOff>175260</xdr:rowOff>
    </xdr:from>
    <xdr:to>
      <xdr:col>21</xdr:col>
      <xdr:colOff>152400</xdr:colOff>
      <xdr:row>43</xdr:row>
      <xdr:rowOff>175260</xdr:rowOff>
    </xdr:to>
    <xdr:graphicFrame macro="">
      <xdr:nvGraphicFramePr>
        <xdr:cNvPr id="3" name="Chart 2">
          <a:extLst>
            <a:ext uri="{FF2B5EF4-FFF2-40B4-BE49-F238E27FC236}">
              <a16:creationId xmlns:a16="http://schemas.microsoft.com/office/drawing/2014/main" id="{FC27052B-ABCD-4523-A4BC-BA43D0A9F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480060</xdr:colOff>
      <xdr:row>12</xdr:row>
      <xdr:rowOff>15240</xdr:rowOff>
    </xdr:from>
    <xdr:to>
      <xdr:col>21</xdr:col>
      <xdr:colOff>175260</xdr:colOff>
      <xdr:row>27</xdr:row>
      <xdr:rowOff>15240</xdr:rowOff>
    </xdr:to>
    <xdr:graphicFrame macro="">
      <xdr:nvGraphicFramePr>
        <xdr:cNvPr id="4" name="Chart 3">
          <a:extLst>
            <a:ext uri="{FF2B5EF4-FFF2-40B4-BE49-F238E27FC236}">
              <a16:creationId xmlns:a16="http://schemas.microsoft.com/office/drawing/2014/main" id="{9D12E16A-637D-4F4C-9F5F-8C83CBBF1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38100</xdr:colOff>
      <xdr:row>28</xdr:row>
      <xdr:rowOff>53340</xdr:rowOff>
    </xdr:from>
    <xdr:to>
      <xdr:col>9</xdr:col>
      <xdr:colOff>342900</xdr:colOff>
      <xdr:row>43</xdr:row>
      <xdr:rowOff>53340</xdr:rowOff>
    </xdr:to>
    <xdr:graphicFrame macro="">
      <xdr:nvGraphicFramePr>
        <xdr:cNvPr id="5" name="Chart 4">
          <a:extLst>
            <a:ext uri="{FF2B5EF4-FFF2-40B4-BE49-F238E27FC236}">
              <a16:creationId xmlns:a16="http://schemas.microsoft.com/office/drawing/2014/main" id="{62EFEB2D-93B2-4A0C-ABA8-0CF00C2AD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556260</xdr:colOff>
      <xdr:row>5</xdr:row>
      <xdr:rowOff>160020</xdr:rowOff>
    </xdr:from>
    <xdr:to>
      <xdr:col>12</xdr:col>
      <xdr:colOff>441960</xdr:colOff>
      <xdr:row>11</xdr:row>
      <xdr:rowOff>0</xdr:rowOff>
    </xdr:to>
    <xdr:sp macro="" textlink="Analysis!E19">
      <xdr:nvSpPr>
        <xdr:cNvPr id="7" name="Oval 6">
          <a:extLst>
            <a:ext uri="{FF2B5EF4-FFF2-40B4-BE49-F238E27FC236}">
              <a16:creationId xmlns:a16="http://schemas.microsoft.com/office/drawing/2014/main" id="{78ADACA3-2FC8-3D18-65B0-4995C133212F}"/>
            </a:ext>
          </a:extLst>
        </xdr:cNvPr>
        <xdr:cNvSpPr/>
      </xdr:nvSpPr>
      <xdr:spPr>
        <a:xfrm>
          <a:off x="6042660" y="1074420"/>
          <a:ext cx="1714500" cy="937260"/>
        </a:xfrm>
        <a:prstGeom prst="ellipse">
          <a:avLst/>
        </a:prstGeom>
      </xdr:spPr>
      <xdr:style>
        <a:lnRef idx="1">
          <a:schemeClr val="dk1"/>
        </a:lnRef>
        <a:fillRef idx="2">
          <a:schemeClr val="dk1"/>
        </a:fillRef>
        <a:effectRef idx="1">
          <a:schemeClr val="dk1"/>
        </a:effectRef>
        <a:fontRef idx="minor">
          <a:schemeClr val="dk1"/>
        </a:fontRef>
      </xdr:style>
      <xdr:txBody>
        <a:bodyPr vertOverflow="clip" horzOverflow="clip" rtlCol="0" anchor="b"/>
        <a:lstStyle/>
        <a:p>
          <a:pPr algn="ctr"/>
          <a:fld id="{B9C7D6BD-1F8E-455E-B33F-9101DFE41A35}" type="TxLink">
            <a:rPr lang="en-US" sz="1100" b="0" i="0" u="none" strike="noStrike">
              <a:solidFill>
                <a:srgbClr val="000000"/>
              </a:solidFill>
              <a:latin typeface="Aptos Narrow"/>
            </a:rPr>
            <a:pPr algn="ctr"/>
            <a:t>1408665.48</a:t>
          </a:fld>
          <a:endParaRPr lang="en-IN" sz="1100"/>
        </a:p>
      </xdr:txBody>
    </xdr:sp>
    <xdr:clientData/>
  </xdr:twoCellAnchor>
  <xdr:oneCellAnchor>
    <xdr:from>
      <xdr:col>10</xdr:col>
      <xdr:colOff>167640</xdr:colOff>
      <xdr:row>6</xdr:row>
      <xdr:rowOff>175260</xdr:rowOff>
    </xdr:from>
    <xdr:ext cx="1554480" cy="348109"/>
    <xdr:sp macro="" textlink="">
      <xdr:nvSpPr>
        <xdr:cNvPr id="8" name="TextBox 7">
          <a:extLst>
            <a:ext uri="{FF2B5EF4-FFF2-40B4-BE49-F238E27FC236}">
              <a16:creationId xmlns:a16="http://schemas.microsoft.com/office/drawing/2014/main" id="{3359B02B-3657-2C38-8E5E-C95D3C040680}"/>
            </a:ext>
          </a:extLst>
        </xdr:cNvPr>
        <xdr:cNvSpPr txBox="1"/>
      </xdr:nvSpPr>
      <xdr:spPr>
        <a:xfrm>
          <a:off x="6263640" y="1272540"/>
          <a:ext cx="1554480" cy="3481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a:latin typeface="Britannic Bold" panose="020B0903060703020204" pitchFamily="34" charset="0"/>
            </a:rPr>
            <a:t>Total Sale</a:t>
          </a:r>
        </a:p>
      </xdr:txBody>
    </xdr:sp>
    <xdr:clientData/>
  </xdr:oneCellAnchor>
  <xdr:twoCellAnchor editAs="oneCell">
    <xdr:from>
      <xdr:col>10</xdr:col>
      <xdr:colOff>99060</xdr:colOff>
      <xdr:row>14</xdr:row>
      <xdr:rowOff>53340</xdr:rowOff>
    </xdr:from>
    <xdr:to>
      <xdr:col>13</xdr:col>
      <xdr:colOff>99060</xdr:colOff>
      <xdr:row>26</xdr:row>
      <xdr:rowOff>175260</xdr:rowOff>
    </xdr:to>
    <mc:AlternateContent xmlns:mc="http://schemas.openxmlformats.org/markup-compatibility/2006" xmlns:a14="http://schemas.microsoft.com/office/drawing/2010/main">
      <mc:Choice Requires="a14">
        <xdr:graphicFrame macro="">
          <xdr:nvGraphicFramePr>
            <xdr:cNvPr id="9" name="PRODUCTLINE">
              <a:extLst>
                <a:ext uri="{FF2B5EF4-FFF2-40B4-BE49-F238E27FC236}">
                  <a16:creationId xmlns:a16="http://schemas.microsoft.com/office/drawing/2014/main" id="{F3274E8A-7E07-464B-8A5B-D51439C82B3E}"/>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6195060" y="2613660"/>
              <a:ext cx="1828800" cy="2316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548640</xdr:colOff>
      <xdr:row>3</xdr:row>
      <xdr:rowOff>60960</xdr:rowOff>
    </xdr:from>
    <xdr:to>
      <xdr:col>18</xdr:col>
      <xdr:colOff>548640</xdr:colOff>
      <xdr:row>10</xdr:row>
      <xdr:rowOff>144780</xdr:rowOff>
    </xdr:to>
    <mc:AlternateContent xmlns:mc="http://schemas.openxmlformats.org/markup-compatibility/2006" xmlns:a14="http://schemas.microsoft.com/office/drawing/2010/main">
      <mc:Choice Requires="a14">
        <xdr:graphicFrame macro="">
          <xdr:nvGraphicFramePr>
            <xdr:cNvPr id="10" name="YEAR_ID">
              <a:extLst>
                <a:ext uri="{FF2B5EF4-FFF2-40B4-BE49-F238E27FC236}">
                  <a16:creationId xmlns:a16="http://schemas.microsoft.com/office/drawing/2014/main" id="{98529082-9232-4FA2-B8C8-72B3550C76D8}"/>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9692640" y="609600"/>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a V Shiju" refreshedDate="46192.498501388887" createdVersion="8" refreshedVersion="8" minRefreshableVersion="3" recordCount="308" xr:uid="{6AE7B7EA-5252-4351-A95F-3FF398AFE154}">
  <cacheSource type="worksheet">
    <worksheetSource ref="A1:Z310" sheet="sales_data_sample (2)"/>
  </cacheSource>
  <cacheFields count="26">
    <cacheField name="ORDERNUMBER" numFmtId="0">
      <sharedItems containsString="0" containsBlank="1" containsNumber="1" containsInteger="1" minValue="10100" maxValue="10425"/>
    </cacheField>
    <cacheField name="QUANTITYORDERED" numFmtId="0">
      <sharedItems containsString="0" containsBlank="1" containsNumber="1" containsInteger="1" minValue="6" maxValue="97"/>
    </cacheField>
    <cacheField name="PRICEEACH" numFmtId="0">
      <sharedItems containsString="0" containsBlank="1" containsNumber="1" minValue="34.909999999999997" maxValue="100"/>
    </cacheField>
    <cacheField name="ORDERLINENUMBER" numFmtId="0">
      <sharedItems containsString="0" containsBlank="1" containsNumber="1" containsInteger="1" minValue="1" maxValue="17"/>
    </cacheField>
    <cacheField name="SALES" numFmtId="0">
      <sharedItems containsString="0" containsBlank="1" containsNumber="1" minValue="553.95000000000005" maxValue="12001"/>
    </cacheField>
    <cacheField name="ORDERDATE" numFmtId="0">
      <sharedItems containsNonDate="0" containsDate="1" containsString="0" containsBlank="1" minDate="2003-01-06T00:00:00" maxDate="2005-06-01T00:00:00" count="253">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m/>
      </sharedItems>
    </cacheField>
    <cacheField name="Month" numFmtId="0">
      <sharedItems containsBlank="1" count="13">
        <s v="Feb"/>
        <s v="May"/>
        <s v="Jul"/>
        <s v="Aug"/>
        <s v="Oct"/>
        <s v="Nov"/>
        <s v="Dec"/>
        <s v="Jan"/>
        <s v="Apr"/>
        <s v="Jun"/>
        <s v="Sep"/>
        <s v="Mar"/>
        <m/>
      </sharedItems>
    </cacheField>
    <cacheField name="STATUS" numFmtId="0">
      <sharedItems containsBlank="1"/>
    </cacheField>
    <cacheField name="QTR_ID" numFmtId="0">
      <sharedItems containsString="0" containsBlank="1" containsNumber="1" containsInteger="1" minValue="1" maxValue="4"/>
    </cacheField>
    <cacheField name="MONTH_ID" numFmtId="0">
      <sharedItems containsString="0" containsBlank="1" containsNumber="1" containsInteger="1" minValue="1" maxValue="12"/>
    </cacheField>
    <cacheField name="YEAR_ID" numFmtId="0">
      <sharedItems containsString="0" containsBlank="1" containsNumber="1" containsInteger="1" minValue="2003" maxValue="2005"/>
    </cacheField>
    <cacheField name="PRODUCTLINE" numFmtId="0">
      <sharedItems containsBlank="1" count="8">
        <s v="Motorcycles"/>
        <s v="Classic Cars"/>
        <s v="Trucks and Buses"/>
        <s v="Vintage Cars"/>
        <s v="Planes"/>
        <s v="Ships"/>
        <s v="Trains"/>
        <m/>
      </sharedItems>
    </cacheField>
    <cacheField name="MSRP" numFmtId="0">
      <sharedItems containsString="0" containsBlank="1" containsNumber="1" containsInteger="1" minValue="35" maxValue="214"/>
    </cacheField>
    <cacheField name="PRODUCTCODE" numFmtId="0">
      <sharedItems containsBlank="1"/>
    </cacheField>
    <cacheField name="CUSTOMERNAME" numFmtId="0">
      <sharedItems containsBlank="1"/>
    </cacheField>
    <cacheField name="PHONE" numFmtId="0">
      <sharedItems containsBlank="1" containsMixedTypes="1" containsNumber="1" containsInteger="1" minValue="2015559350" maxValue="9145554562"/>
    </cacheField>
    <cacheField name="ADDRESSLINE1" numFmtId="0">
      <sharedItems containsBlank="1"/>
    </cacheField>
    <cacheField name="ADDRESSLINE2" numFmtId="0">
      <sharedItems containsBlank="1"/>
    </cacheField>
    <cacheField name="CITY" numFmtId="0">
      <sharedItems containsBlank="1"/>
    </cacheField>
    <cacheField name="STATE" numFmtId="0">
      <sharedItems containsBlank="1"/>
    </cacheField>
    <cacheField name="POSTALCODE" numFmtId="0">
      <sharedItems containsBlank="1" containsMixedTypes="1" containsNumber="1" containsInteger="1" minValue="2" maxValue="97823"/>
    </cacheField>
    <cacheField name="COUNTRY" numFmtId="0">
      <sharedItems containsBlank="1" count="20">
        <s v="USA"/>
        <s v="France"/>
        <s v="Norway"/>
        <s v="Australia"/>
        <s v="Finland"/>
        <s v="Austria"/>
        <s v="UK"/>
        <s v="Spain"/>
        <s v="Sweden"/>
        <s v="Singapore"/>
        <s v="Canada"/>
        <s v="Japan"/>
        <s v="Italy"/>
        <s v="Denmark"/>
        <s v="Belgium"/>
        <s v="Philippines"/>
        <s v="Germany"/>
        <s v="Switzerland"/>
        <s v="Ireland"/>
        <m/>
      </sharedItems>
    </cacheField>
    <cacheField name="TERRITORY" numFmtId="0">
      <sharedItems containsBlank="1"/>
    </cacheField>
    <cacheField name="CONTACTLASTNAME" numFmtId="0">
      <sharedItems containsBlank="1"/>
    </cacheField>
    <cacheField name="CONTACTFIRSTNAME" numFmtId="0">
      <sharedItems containsBlank="1"/>
    </cacheField>
    <cacheField name="DEALSIZE" numFmtId="0">
      <sharedItems containsBlank="1"/>
    </cacheField>
  </cacheFields>
  <extLst>
    <ext xmlns:x14="http://schemas.microsoft.com/office/spreadsheetml/2009/9/main" uri="{725AE2AE-9491-48be-B2B4-4EB974FC3084}">
      <x14:pivotCacheDefinition pivotCacheId="17234630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a V Shiju" refreshedDate="46195.643733333331" createdVersion="8" refreshedVersion="8" minRefreshableVersion="3" recordCount="307" xr:uid="{E07FFE44-CD0D-49CF-8A09-DC42BD225E6D}">
  <cacheSource type="worksheet">
    <worksheetSource ref="A1:Z308" sheet="sales_data_sample (2)"/>
  </cacheSource>
  <cacheFields count="26">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34.909999999999997" maxValue="100"/>
    </cacheField>
    <cacheField name="ORDERLINENUMBER" numFmtId="0">
      <sharedItems containsSemiMixedTypes="0" containsString="0" containsNumber="1" containsInteger="1" minValue="1" maxValue="17"/>
    </cacheField>
    <cacheField name="SALES" numFmtId="0">
      <sharedItems containsSemiMixedTypes="0" containsString="0" containsNumber="1" minValue="553.95000000000005" maxValue="12001"/>
    </cacheField>
    <cacheField name="ORDERDATE" numFmtId="14">
      <sharedItems containsSemiMixedTypes="0" containsNonDate="0" containsDate="1" containsString="0" minDate="2003-01-06T00:00:00" maxDate="2005-06-01T00:00:00"/>
    </cacheField>
    <cacheField name="Month" numFmtId="14">
      <sharedItems/>
    </cacheField>
    <cacheField name="STATUS" numFmtId="0">
      <sharedItems count="6">
        <s v="Shipped"/>
        <s v="Resolved"/>
        <s v="Cancelled"/>
        <s v="On Hold"/>
        <s v="Disputed"/>
        <s v="In Process"/>
      </sharedItems>
    </cacheField>
    <cacheField name="QTR_ID" numFmtId="0">
      <sharedItems containsSemiMixedTypes="0" containsString="0" containsNumber="1" containsInteger="1" minValue="1" maxValue="4" count="4">
        <n v="1"/>
        <n v="2"/>
        <n v="3"/>
        <n v="4"/>
      </sharedItems>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ount="3">
        <n v="2003"/>
        <n v="2004"/>
        <n v="2005"/>
      </sharedItems>
    </cacheField>
    <cacheField name="PRODUCTLINE" numFmtId="0">
      <sharedItems/>
    </cacheField>
    <cacheField name="MSRP" numFmtId="0">
      <sharedItems containsSemiMixedTypes="0" containsString="0" containsNumber="1" containsInteger="1" minValue="35" maxValue="214"/>
    </cacheField>
    <cacheField name="PRODUCTCODE" numFmtId="0">
      <sharedItems/>
    </cacheField>
    <cacheField name="CUSTOMERNAME" numFmtId="0">
      <sharedItems/>
    </cacheField>
    <cacheField name="PHONE" numFmtId="0">
      <sharedItems containsMixedTypes="1" containsNumber="1" containsInteger="1" minValue="2015559350" maxValue="9145554562"/>
    </cacheField>
    <cacheField name="ADDRESSLINE1" numFmtId="0">
      <sharedItems/>
    </cacheField>
    <cacheField name="ADDRESSLINE2" numFmtId="0">
      <sharedItems/>
    </cacheField>
    <cacheField name="CITY" numFmtId="0">
      <sharedItems/>
    </cacheField>
    <cacheField name="STATE" numFmtId="0">
      <sharedItems/>
    </cacheField>
    <cacheField name="POSTALCODE" numFmtId="0">
      <sharedItems containsMixedTypes="1" containsNumber="1" containsInteger="1" minValue="2" maxValue="97823"/>
    </cacheField>
    <cacheField name="COUNTRY" numFmtId="0">
      <sharedItems/>
    </cacheField>
    <cacheField name="TERRITORY" numFmtId="0">
      <sharedItems/>
    </cacheField>
    <cacheField name="CONTACTLASTNAME" numFmtId="0">
      <sharedItems/>
    </cacheField>
    <cacheField name="CONTACTFIRSTNAME" numFmtId="0">
      <sharedItems/>
    </cacheField>
    <cacheField name="DEALSIZE" numFmtId="0">
      <sharedItems/>
    </cacheField>
  </cacheFields>
  <extLst>
    <ext xmlns:x14="http://schemas.microsoft.com/office/spreadsheetml/2009/9/main" uri="{725AE2AE-9491-48be-B2B4-4EB974FC3084}">
      <x14:pivotCacheDefinition pivotCacheId="1847516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n v="10107"/>
    <n v="30"/>
    <n v="95.7"/>
    <n v="2"/>
    <n v="2871"/>
    <x v="0"/>
    <x v="0"/>
    <s v="Shipped"/>
    <n v="1"/>
    <n v="2"/>
    <n v="2003"/>
    <x v="0"/>
    <n v="95"/>
    <s v="S10_1678"/>
    <s v="Land of Toys Inc."/>
    <n v="2125557818"/>
    <s v="897 Long Airport Avenue"/>
    <s v="N/A"/>
    <s v="NYC"/>
    <s v="NY"/>
    <n v="10022"/>
    <x v="0"/>
    <s v="NA"/>
    <s v="Yu"/>
    <s v="Kwai"/>
    <s v="Small"/>
  </r>
  <r>
    <n v="10121"/>
    <n v="34"/>
    <n v="81.349999999999994"/>
    <n v="5"/>
    <n v="2765.9"/>
    <x v="1"/>
    <x v="1"/>
    <s v="Shipped"/>
    <n v="2"/>
    <n v="5"/>
    <n v="2003"/>
    <x v="0"/>
    <n v="95"/>
    <s v="S10_1678"/>
    <s v="Reims Collectables"/>
    <s v="26.47.1555"/>
    <s v="59 rue de l'Abbaye"/>
    <s v="N/A"/>
    <s v="Reims"/>
    <s v="N/A"/>
    <n v="51100"/>
    <x v="1"/>
    <s v="EMEA"/>
    <s v="Henriot"/>
    <s v="Paul"/>
    <s v="Small"/>
  </r>
  <r>
    <n v="10134"/>
    <n v="41"/>
    <n v="94.74"/>
    <n v="2"/>
    <n v="3884.34"/>
    <x v="2"/>
    <x v="2"/>
    <s v="Shipped"/>
    <n v="3"/>
    <n v="7"/>
    <n v="2003"/>
    <x v="0"/>
    <n v="95"/>
    <s v="S10_1678"/>
    <s v="Lyon Souveniers"/>
    <s v="+33 1 46 62 7555"/>
    <s v="27 rue du Colonel Pierre Avia"/>
    <s v="N/A"/>
    <s v="Paris"/>
    <s v="N/A"/>
    <n v="75508"/>
    <x v="1"/>
    <s v="EMEA"/>
    <s v="Da Cunha"/>
    <s v="Daniel"/>
    <s v="Medium"/>
  </r>
  <r>
    <n v="10145"/>
    <n v="45"/>
    <n v="83.26"/>
    <n v="6"/>
    <n v="3746.7"/>
    <x v="3"/>
    <x v="3"/>
    <s v="Shipped"/>
    <n v="3"/>
    <n v="8"/>
    <n v="2003"/>
    <x v="0"/>
    <n v="95"/>
    <s v="S10_1678"/>
    <s v="Toys4GrownUps.com"/>
    <n v="6265557265"/>
    <s v="78934 Hillside Dr."/>
    <s v="N/A"/>
    <s v="Pasadena"/>
    <s v="CA"/>
    <n v="90003"/>
    <x v="0"/>
    <s v="NA"/>
    <s v="Young"/>
    <s v="Julie"/>
    <s v="Medium"/>
  </r>
  <r>
    <n v="10159"/>
    <n v="49"/>
    <n v="100"/>
    <n v="14"/>
    <n v="5205.2700000000004"/>
    <x v="4"/>
    <x v="4"/>
    <s v="Shipped"/>
    <n v="4"/>
    <n v="10"/>
    <n v="2003"/>
    <x v="0"/>
    <n v="95"/>
    <s v="S10_1678"/>
    <s v="Corporate Gift Ideas Co."/>
    <n v="6505551386"/>
    <s v="7734 Strong St."/>
    <s v="N/A"/>
    <s v="San Francisco"/>
    <s v="CA"/>
    <s v="N/A"/>
    <x v="0"/>
    <s v="NA"/>
    <s v="Brown"/>
    <s v="Julie"/>
    <s v="Medium"/>
  </r>
  <r>
    <n v="10168"/>
    <n v="36"/>
    <n v="96.66"/>
    <n v="1"/>
    <n v="3479.76"/>
    <x v="5"/>
    <x v="4"/>
    <s v="Shipped"/>
    <n v="4"/>
    <n v="10"/>
    <n v="2003"/>
    <x v="0"/>
    <n v="95"/>
    <s v="S10_1678"/>
    <s v="Technics Stores Inc."/>
    <n v="6505556809"/>
    <s v="9408 Furth Circle"/>
    <s v="N/A"/>
    <s v="Burlingame"/>
    <s v="CA"/>
    <n v="94217"/>
    <x v="0"/>
    <s v="NA"/>
    <s v="Hirano"/>
    <s v="Juri"/>
    <s v="Medium"/>
  </r>
  <r>
    <n v="10180"/>
    <n v="29"/>
    <n v="86.13"/>
    <n v="9"/>
    <n v="2497.77"/>
    <x v="6"/>
    <x v="5"/>
    <s v="Shipped"/>
    <n v="4"/>
    <n v="11"/>
    <n v="2003"/>
    <x v="0"/>
    <n v="95"/>
    <s v="S10_1678"/>
    <s v="Daedalus Designs Imports"/>
    <s v="20.16.1555"/>
    <s v="184, chausse de Tournai"/>
    <s v="N/A"/>
    <s v="Lille"/>
    <s v="N/A"/>
    <n v="59000"/>
    <x v="1"/>
    <s v="EMEA"/>
    <s v="Rance"/>
    <s v="Martine"/>
    <s v="Small"/>
  </r>
  <r>
    <n v="10188"/>
    <n v="48"/>
    <n v="100"/>
    <n v="1"/>
    <n v="5512.32"/>
    <x v="7"/>
    <x v="5"/>
    <s v="Shipped"/>
    <n v="4"/>
    <n v="11"/>
    <n v="2003"/>
    <x v="0"/>
    <n v="95"/>
    <s v="S10_1678"/>
    <s v="Herkku Gifts"/>
    <s v="+47 2267 3215"/>
    <s v="Drammen 121, PR 744 Sentrum"/>
    <s v="N/A"/>
    <s v="Bergen"/>
    <s v="N/A"/>
    <s v="N 5804"/>
    <x v="2"/>
    <s v="EMEA"/>
    <s v="Oeztan"/>
    <s v="Veysel"/>
    <s v="Medium"/>
  </r>
  <r>
    <n v="10201"/>
    <n v="22"/>
    <n v="98.57"/>
    <n v="2"/>
    <n v="2168.54"/>
    <x v="8"/>
    <x v="6"/>
    <s v="Shipped"/>
    <n v="4"/>
    <n v="12"/>
    <n v="2003"/>
    <x v="0"/>
    <n v="95"/>
    <s v="S10_1678"/>
    <s v="Mini Wheels Co."/>
    <n v="6505555787"/>
    <s v="5557 North Pendale Street"/>
    <s v="N/A"/>
    <s v="San Francisco"/>
    <s v="CA"/>
    <s v="N/A"/>
    <x v="0"/>
    <s v="NA"/>
    <s v="Murphy"/>
    <s v="Julie"/>
    <s v="Small"/>
  </r>
  <r>
    <n v="10211"/>
    <n v="41"/>
    <n v="100"/>
    <n v="14"/>
    <n v="4708.4399999999996"/>
    <x v="9"/>
    <x v="7"/>
    <s v="Shipped"/>
    <n v="1"/>
    <n v="1"/>
    <n v="2004"/>
    <x v="0"/>
    <n v="95"/>
    <s v="S10_1678"/>
    <s v="Auto Canal Petit"/>
    <s v="(1) 47.55.6555"/>
    <s v="25, rue Lauriston"/>
    <s v="N/A"/>
    <s v="Paris"/>
    <s v="N/A"/>
    <n v="75016"/>
    <x v="1"/>
    <s v="EMEA"/>
    <s v="Perrier"/>
    <s v="Dominique"/>
    <s v="Medium"/>
  </r>
  <r>
    <n v="10223"/>
    <n v="37"/>
    <n v="100"/>
    <n v="1"/>
    <n v="3965.66"/>
    <x v="10"/>
    <x v="0"/>
    <s v="Shipped"/>
    <n v="1"/>
    <n v="2"/>
    <n v="2004"/>
    <x v="0"/>
    <n v="95"/>
    <s v="S10_1678"/>
    <s v="Australian Collectors, Co."/>
    <s v="03 9520 4555"/>
    <s v="636 St Kilda Road"/>
    <s v="Level 3"/>
    <s v="Melbourne"/>
    <s v="Victoria"/>
    <n v="3004"/>
    <x v="3"/>
    <s v="APAC"/>
    <s v="Ferguson"/>
    <s v="Peter"/>
    <s v="Medium"/>
  </r>
  <r>
    <n v="10237"/>
    <n v="23"/>
    <n v="100"/>
    <n v="7"/>
    <n v="2333.12"/>
    <x v="11"/>
    <x v="8"/>
    <s v="Shipped"/>
    <n v="2"/>
    <n v="4"/>
    <n v="2004"/>
    <x v="0"/>
    <n v="95"/>
    <s v="S10_1678"/>
    <s v="Vitachrome Inc."/>
    <n v="2125551500"/>
    <s v="2678 Kingston Rd."/>
    <s v="Suite 101"/>
    <s v="NYC"/>
    <s v="NY"/>
    <n v="10022"/>
    <x v="0"/>
    <s v="NA"/>
    <s v="Frick"/>
    <s v="Michael"/>
    <s v="Small"/>
  </r>
  <r>
    <n v="10251"/>
    <n v="28"/>
    <n v="100"/>
    <n v="2"/>
    <n v="3188.64"/>
    <x v="12"/>
    <x v="1"/>
    <s v="Shipped"/>
    <n v="2"/>
    <n v="5"/>
    <n v="2004"/>
    <x v="0"/>
    <n v="95"/>
    <s v="S10_1678"/>
    <s v="Tekni Collectables Inc."/>
    <n v="2015559350"/>
    <s v="7476 Moss Rd."/>
    <s v="N/A"/>
    <s v="Newark"/>
    <s v="NJ"/>
    <n v="94019"/>
    <x v="0"/>
    <s v="NA"/>
    <s v="Brown"/>
    <s v="William"/>
    <s v="Medium"/>
  </r>
  <r>
    <n v="10263"/>
    <n v="34"/>
    <n v="100"/>
    <n v="2"/>
    <n v="3676.76"/>
    <x v="13"/>
    <x v="9"/>
    <s v="Shipped"/>
    <n v="2"/>
    <n v="6"/>
    <n v="2004"/>
    <x v="0"/>
    <n v="95"/>
    <s v="S10_1678"/>
    <s v="Gift Depot Inc."/>
    <n v="2035552570"/>
    <s v="25593 South Bay Ln."/>
    <s v="N/A"/>
    <s v="Bridgewater"/>
    <s v="CT"/>
    <n v="97562"/>
    <x v="0"/>
    <s v="NA"/>
    <s v="King"/>
    <s v="Julie"/>
    <s v="Medium"/>
  </r>
  <r>
    <n v="10275"/>
    <n v="45"/>
    <n v="92.83"/>
    <n v="1"/>
    <n v="4177.3500000000004"/>
    <x v="14"/>
    <x v="2"/>
    <s v="Shipped"/>
    <n v="3"/>
    <n v="7"/>
    <n v="2004"/>
    <x v="0"/>
    <n v="95"/>
    <s v="S10_1678"/>
    <s v="La Rochelle Gifts"/>
    <s v="40.67.8555"/>
    <s v="67, rue des Cinquante Otages"/>
    <s v="N/A"/>
    <s v="Nantes"/>
    <s v="N/A"/>
    <n v="44000"/>
    <x v="1"/>
    <s v="EMEA"/>
    <s v="Labrune"/>
    <s v="Janine"/>
    <s v="Medium"/>
  </r>
  <r>
    <n v="10285"/>
    <n v="36"/>
    <n v="100"/>
    <n v="6"/>
    <n v="4099.68"/>
    <x v="15"/>
    <x v="3"/>
    <s v="Shipped"/>
    <n v="3"/>
    <n v="8"/>
    <n v="2004"/>
    <x v="0"/>
    <n v="95"/>
    <s v="S10_1678"/>
    <s v="Marta's Replicas Co."/>
    <n v="6175558555"/>
    <s v="39323 Spinnaker Dr."/>
    <s v="N/A"/>
    <s v="Cambridge"/>
    <s v="MA"/>
    <n v="51247"/>
    <x v="0"/>
    <s v="NA"/>
    <s v="Hernandez"/>
    <s v="Marta"/>
    <s v="Medium"/>
  </r>
  <r>
    <n v="10299"/>
    <n v="23"/>
    <n v="100"/>
    <n v="9"/>
    <n v="2597.39"/>
    <x v="16"/>
    <x v="10"/>
    <s v="Shipped"/>
    <n v="3"/>
    <n v="9"/>
    <n v="2004"/>
    <x v="0"/>
    <n v="95"/>
    <s v="S10_1678"/>
    <s v="Toys of Finland, Co."/>
    <s v="90-224 8555"/>
    <s v="Keskuskatu 45"/>
    <s v="N/A"/>
    <s v="Helsinki"/>
    <s v="N/A"/>
    <n v="21240"/>
    <x v="4"/>
    <s v="EMEA"/>
    <s v="Karttunen"/>
    <s v="Matti"/>
    <s v="Small"/>
  </r>
  <r>
    <n v="10309"/>
    <n v="41"/>
    <n v="100"/>
    <n v="5"/>
    <n v="4394.38"/>
    <x v="17"/>
    <x v="4"/>
    <s v="Shipped"/>
    <n v="4"/>
    <n v="10"/>
    <n v="2004"/>
    <x v="0"/>
    <n v="95"/>
    <s v="S10_1678"/>
    <s v="Baane Mini Imports"/>
    <s v="07-98 9555"/>
    <s v="Erling Skakkes gate 78"/>
    <s v="N/A"/>
    <s v="Stavern"/>
    <s v="N/A"/>
    <n v="4110"/>
    <x v="2"/>
    <s v="EMEA"/>
    <s v="Bergulfsen"/>
    <s v="Jonas"/>
    <s v="Medium"/>
  </r>
  <r>
    <n v="10318"/>
    <n v="46"/>
    <n v="94.74"/>
    <n v="1"/>
    <n v="4358.04"/>
    <x v="18"/>
    <x v="5"/>
    <s v="Shipped"/>
    <n v="4"/>
    <n v="11"/>
    <n v="2004"/>
    <x v="0"/>
    <n v="95"/>
    <s v="S10_1678"/>
    <s v="Diecast Classics Inc."/>
    <n v="2155551555"/>
    <s v="7586 Pompton St."/>
    <s v="N/A"/>
    <s v="Allentown"/>
    <s v="PA"/>
    <n v="70267"/>
    <x v="0"/>
    <s v="NA"/>
    <s v="Yu"/>
    <s v="Kyung"/>
    <s v="Medium"/>
  </r>
  <r>
    <n v="10329"/>
    <n v="42"/>
    <n v="100"/>
    <n v="1"/>
    <n v="4396.1400000000003"/>
    <x v="19"/>
    <x v="5"/>
    <s v="Shipped"/>
    <n v="4"/>
    <n v="11"/>
    <n v="2004"/>
    <x v="0"/>
    <n v="95"/>
    <s v="S10_1678"/>
    <s v="Land of Toys Inc."/>
    <n v="2125557818"/>
    <s v="897 Long Airport Avenue"/>
    <s v="N/A"/>
    <s v="NYC"/>
    <s v="NY"/>
    <n v="10022"/>
    <x v="0"/>
    <s v="NA"/>
    <s v="Yu"/>
    <s v="Kwai"/>
    <s v="Medium"/>
  </r>
  <r>
    <n v="10341"/>
    <n v="41"/>
    <n v="100"/>
    <n v="9"/>
    <n v="7737.93"/>
    <x v="20"/>
    <x v="5"/>
    <s v="Shipped"/>
    <n v="4"/>
    <n v="11"/>
    <n v="2004"/>
    <x v="0"/>
    <n v="95"/>
    <s v="S10_1678"/>
    <s v="Salzburg Collectables"/>
    <s v="6562-9555"/>
    <s v="Geislweg 14"/>
    <s v="N/A"/>
    <s v="Salzburg"/>
    <s v="N/A"/>
    <n v="5020"/>
    <x v="5"/>
    <s v="EMEA"/>
    <s v="Pipps"/>
    <s v="Georg"/>
    <s v="Large"/>
  </r>
  <r>
    <n v="10361"/>
    <n v="20"/>
    <n v="72.55"/>
    <n v="13"/>
    <n v="1451"/>
    <x v="21"/>
    <x v="6"/>
    <s v="Shipped"/>
    <n v="4"/>
    <n v="12"/>
    <n v="2004"/>
    <x v="0"/>
    <n v="95"/>
    <s v="S10_1678"/>
    <s v="Souveniers And Things Co."/>
    <s v="+61 2 9495 8555"/>
    <s v="Monitor Money Building, 815 Pacific Hwy"/>
    <s v="Level 6"/>
    <s v="Chatswood"/>
    <s v="NSW"/>
    <n v="2067"/>
    <x v="3"/>
    <s v="APAC"/>
    <s v="Huxley"/>
    <s v="Adrian"/>
    <s v="Small"/>
  </r>
  <r>
    <n v="10375"/>
    <n v="21"/>
    <n v="34.909999999999997"/>
    <n v="12"/>
    <n v="733.11"/>
    <x v="22"/>
    <x v="0"/>
    <s v="Shipped"/>
    <n v="1"/>
    <n v="2"/>
    <n v="2005"/>
    <x v="0"/>
    <n v="95"/>
    <s v="S10_1678"/>
    <s v="La Rochelle Gifts"/>
    <s v="40.67.8555"/>
    <s v="67, rue des Cinquante Otages"/>
    <s v="N/A"/>
    <s v="Nantes"/>
    <s v="N/A"/>
    <n v="44000"/>
    <x v="1"/>
    <s v="EMEA"/>
    <s v="Labrune"/>
    <s v="Janine"/>
    <s v="Small"/>
  </r>
  <r>
    <n v="10388"/>
    <n v="42"/>
    <n v="76.36"/>
    <n v="4"/>
    <n v="3207.12"/>
    <x v="23"/>
    <x v="11"/>
    <s v="Shipped"/>
    <n v="1"/>
    <n v="3"/>
    <n v="2005"/>
    <x v="0"/>
    <n v="95"/>
    <s v="S10_1678"/>
    <s v="FunGiftIdeas.com"/>
    <n v="5085552555"/>
    <s v="1785 First Street"/>
    <s v="N/A"/>
    <s v="New Bedford"/>
    <s v="MA"/>
    <n v="50553"/>
    <x v="0"/>
    <s v="NA"/>
    <s v="Benitez"/>
    <s v="Violeta"/>
    <s v="Medium"/>
  </r>
  <r>
    <n v="10403"/>
    <n v="24"/>
    <n v="100"/>
    <n v="7"/>
    <n v="2434.56"/>
    <x v="24"/>
    <x v="8"/>
    <s v="Shipped"/>
    <n v="2"/>
    <n v="4"/>
    <n v="2005"/>
    <x v="0"/>
    <n v="95"/>
    <s v="S10_1678"/>
    <s v="UK Collectables, Ltd."/>
    <s v="(171) 555-2282"/>
    <s v="Berkeley Gardens 12  Brewery"/>
    <s v="N/A"/>
    <s v="Liverpool"/>
    <s v="N/A"/>
    <s v="WX1 6LT"/>
    <x v="6"/>
    <s v="EMEA"/>
    <s v="Devon"/>
    <s v="Elizabeth"/>
    <s v="Small"/>
  </r>
  <r>
    <n v="10417"/>
    <n v="66"/>
    <n v="100"/>
    <n v="2"/>
    <n v="7516.08"/>
    <x v="25"/>
    <x v="1"/>
    <s v="Disputed"/>
    <n v="2"/>
    <n v="5"/>
    <n v="2005"/>
    <x v="0"/>
    <n v="95"/>
    <s v="S10_1678"/>
    <s v="Euro Shopping Channel"/>
    <s v="(91) 555 94 44"/>
    <s v="C/ Moralzarzal, 86"/>
    <s v="N/A"/>
    <s v="Madrid"/>
    <s v="N/A"/>
    <n v="28034"/>
    <x v="7"/>
    <s v="EMEA"/>
    <s v="Freyre"/>
    <s v="Diego"/>
    <s v="Large"/>
  </r>
  <r>
    <n v="10103"/>
    <n v="26"/>
    <n v="100"/>
    <n v="11"/>
    <n v="5404.62"/>
    <x v="26"/>
    <x v="7"/>
    <s v="Shipped"/>
    <n v="1"/>
    <n v="1"/>
    <n v="2003"/>
    <x v="1"/>
    <n v="214"/>
    <s v="S10_1949"/>
    <s v="Baane Mini Imports"/>
    <s v="07-98 9555"/>
    <s v="Erling Skakkes gate 78"/>
    <s v="N/A"/>
    <s v="Stavern"/>
    <s v="N/A"/>
    <n v="4110"/>
    <x v="2"/>
    <s v="EMEA"/>
    <s v="Bergulfsen"/>
    <s v="Jonas"/>
    <s v="Medium"/>
  </r>
  <r>
    <n v="10112"/>
    <n v="29"/>
    <n v="100"/>
    <n v="1"/>
    <n v="7209.11"/>
    <x v="27"/>
    <x v="11"/>
    <s v="Shipped"/>
    <n v="1"/>
    <n v="3"/>
    <n v="2003"/>
    <x v="1"/>
    <n v="214"/>
    <s v="S10_1949"/>
    <s v="Volvo Model Replicas, Co"/>
    <s v="0921-12 3555"/>
    <s v="Berguvsv„gen  8"/>
    <s v="N/A"/>
    <s v="Lule"/>
    <s v="N/A"/>
    <s v="S-958 22"/>
    <x v="8"/>
    <s v="EMEA"/>
    <s v="Berglund"/>
    <s v="Christina"/>
    <s v="Large"/>
  </r>
  <r>
    <n v="10126"/>
    <n v="38"/>
    <n v="100"/>
    <n v="11"/>
    <n v="7329.06"/>
    <x v="28"/>
    <x v="1"/>
    <s v="Shipped"/>
    <n v="2"/>
    <n v="5"/>
    <n v="2003"/>
    <x v="1"/>
    <n v="214"/>
    <s v="S10_1949"/>
    <s v="Corrida Auto Replicas, Ltd"/>
    <s v="(91) 555 22 82"/>
    <s v="C/ Araquil, 67"/>
    <s v="N/A"/>
    <s v="Madrid"/>
    <s v="N/A"/>
    <n v="28023"/>
    <x v="7"/>
    <s v="EMEA"/>
    <s v="Sommer"/>
    <s v="Mart¡n"/>
    <s v="Large"/>
  </r>
  <r>
    <n v="10140"/>
    <n v="37"/>
    <n v="100"/>
    <n v="11"/>
    <n v="7374.1"/>
    <x v="29"/>
    <x v="2"/>
    <s v="Shipped"/>
    <n v="3"/>
    <n v="7"/>
    <n v="2003"/>
    <x v="1"/>
    <n v="214"/>
    <s v="S10_1949"/>
    <s v="Technics Stores Inc."/>
    <n v="6505556809"/>
    <s v="9408 Furth Circle"/>
    <s v="N/A"/>
    <s v="Burlingame"/>
    <s v="CA"/>
    <n v="94217"/>
    <x v="0"/>
    <s v="NA"/>
    <s v="Hirano"/>
    <s v="Juri"/>
    <s v="Large"/>
  </r>
  <r>
    <n v="10150"/>
    <n v="45"/>
    <n v="100"/>
    <n v="8"/>
    <n v="10993.5"/>
    <x v="30"/>
    <x v="10"/>
    <s v="Shipped"/>
    <n v="3"/>
    <n v="9"/>
    <n v="2003"/>
    <x v="1"/>
    <n v="214"/>
    <s v="S10_1949"/>
    <s v="Dragon Souveniers, Ltd."/>
    <s v="+65 221 7555"/>
    <s v="Bronz Sok., Bronz Apt. 3/6 Tesvikiye"/>
    <s v="N/A"/>
    <s v="Singapore"/>
    <s v="N/A"/>
    <n v="79903"/>
    <x v="9"/>
    <s v="Japan"/>
    <s v="Natividad"/>
    <s v="Eric"/>
    <s v="Large"/>
  </r>
  <r>
    <n v="10163"/>
    <n v="21"/>
    <n v="100"/>
    <n v="1"/>
    <n v="4860.24"/>
    <x v="31"/>
    <x v="4"/>
    <s v="Shipped"/>
    <n v="4"/>
    <n v="10"/>
    <n v="2003"/>
    <x v="1"/>
    <n v="214"/>
    <s v="S10_1949"/>
    <s v="Classic Legends Inc."/>
    <n v="2125558493"/>
    <s v="5905 Pompton St."/>
    <s v="Suite 750"/>
    <s v="NYC"/>
    <s v="NY"/>
    <n v="10022"/>
    <x v="0"/>
    <s v="NA"/>
    <s v="Hernandez"/>
    <s v="Maria"/>
    <s v="Medium"/>
  </r>
  <r>
    <n v="10174"/>
    <n v="34"/>
    <n v="100"/>
    <n v="4"/>
    <n v="8014.82"/>
    <x v="32"/>
    <x v="5"/>
    <s v="Shipped"/>
    <n v="4"/>
    <n v="11"/>
    <n v="2003"/>
    <x v="1"/>
    <n v="214"/>
    <s v="S10_1949"/>
    <s v="Australian Gift Network, Co"/>
    <s v="61-7-3844-6555"/>
    <s v="31 Duncan St. West End"/>
    <s v="N/A"/>
    <s v="South Brisbane"/>
    <s v="Queensland"/>
    <n v="4101"/>
    <x v="3"/>
    <s v="APAC"/>
    <s v="Calaghan"/>
    <s v="Tony"/>
    <s v="Large"/>
  </r>
  <r>
    <n v="10183"/>
    <n v="23"/>
    <n v="100"/>
    <n v="8"/>
    <n v="5372.57"/>
    <x v="33"/>
    <x v="5"/>
    <s v="Shipped"/>
    <n v="4"/>
    <n v="11"/>
    <n v="2003"/>
    <x v="1"/>
    <n v="214"/>
    <s v="S10_1949"/>
    <s v="Classic Gift Ideas, Inc"/>
    <n v="2155554695"/>
    <s v="782 First Street"/>
    <s v="N/A"/>
    <s v="Philadelphia"/>
    <s v="PA"/>
    <n v="71270"/>
    <x v="0"/>
    <s v="NA"/>
    <s v="Cervantes"/>
    <s v="Francisca"/>
    <s v="Medium"/>
  </r>
  <r>
    <n v="10194"/>
    <n v="42"/>
    <n v="100"/>
    <n v="11"/>
    <n v="7290.36"/>
    <x v="34"/>
    <x v="5"/>
    <s v="Shipped"/>
    <n v="4"/>
    <n v="11"/>
    <n v="2003"/>
    <x v="1"/>
    <n v="214"/>
    <s v="S10_1949"/>
    <s v="Saveley &amp; Henriot, Co."/>
    <s v="78.32.5555"/>
    <s v="2, rue du Commerce"/>
    <s v="N/A"/>
    <s v="Lyon"/>
    <s v="N/A"/>
    <n v="69004"/>
    <x v="1"/>
    <s v="EMEA"/>
    <s v="Saveley"/>
    <s v="Mary"/>
    <s v="Large"/>
  </r>
  <r>
    <n v="10206"/>
    <n v="47"/>
    <n v="100"/>
    <n v="6"/>
    <n v="9064.89"/>
    <x v="35"/>
    <x v="6"/>
    <s v="Shipped"/>
    <n v="4"/>
    <n v="12"/>
    <n v="2003"/>
    <x v="1"/>
    <n v="214"/>
    <s v="S10_1949"/>
    <s v="Canadian Gift Exchange Network"/>
    <s v="(604) 555-3392"/>
    <s v="1900 Oak St."/>
    <s v="N/A"/>
    <s v="Vancouver"/>
    <s v="BC"/>
    <s v="V3F 2K1"/>
    <x v="10"/>
    <s v="NA"/>
    <s v="Tannamuri"/>
    <s v="Yoshi"/>
    <s v="Large"/>
  </r>
  <r>
    <n v="10215"/>
    <n v="35"/>
    <n v="100"/>
    <n v="3"/>
    <n v="6075.3"/>
    <x v="36"/>
    <x v="7"/>
    <s v="Shipped"/>
    <n v="1"/>
    <n v="1"/>
    <n v="2004"/>
    <x v="1"/>
    <n v="214"/>
    <s v="S10_1949"/>
    <s v="West Coast Collectables Co."/>
    <n v="3105553722"/>
    <s v="3675 Furth Circle"/>
    <s v="N/A"/>
    <s v="Burbank"/>
    <s v="CA"/>
    <n v="94019"/>
    <x v="0"/>
    <s v="NA"/>
    <s v="Thompson"/>
    <s v="Steve"/>
    <s v="Medium"/>
  </r>
  <r>
    <n v="10228"/>
    <n v="29"/>
    <n v="100"/>
    <n v="2"/>
    <n v="6463.23"/>
    <x v="37"/>
    <x v="11"/>
    <s v="Shipped"/>
    <n v="1"/>
    <n v="3"/>
    <n v="2004"/>
    <x v="1"/>
    <n v="214"/>
    <s v="S10_1949"/>
    <s v="Cambridge Collectables Co."/>
    <n v="6175555555"/>
    <s v="4658 Baden Av."/>
    <s v="N/A"/>
    <s v="Cambridge"/>
    <s v="MA"/>
    <n v="51247"/>
    <x v="0"/>
    <s v="NA"/>
    <s v="Tseng"/>
    <s v="Kyung"/>
    <s v="Medium"/>
  </r>
  <r>
    <n v="10245"/>
    <n v="34"/>
    <n v="100"/>
    <n v="9"/>
    <n v="6120.34"/>
    <x v="38"/>
    <x v="1"/>
    <s v="Shipped"/>
    <n v="2"/>
    <n v="5"/>
    <n v="2004"/>
    <x v="1"/>
    <n v="214"/>
    <s v="S10_1949"/>
    <s v="Super Scale Inc."/>
    <n v="2035559545"/>
    <s v="567 North Pendale Street"/>
    <s v="N/A"/>
    <s v="New Haven"/>
    <s v="CT"/>
    <n v="97823"/>
    <x v="0"/>
    <s v="NA"/>
    <s v="Murphy"/>
    <s v="Leslie"/>
    <s v="Medium"/>
  </r>
  <r>
    <n v="10258"/>
    <n v="32"/>
    <n v="100"/>
    <n v="6"/>
    <n v="7680.64"/>
    <x v="39"/>
    <x v="9"/>
    <s v="Shipped"/>
    <n v="2"/>
    <n v="6"/>
    <n v="2004"/>
    <x v="1"/>
    <n v="214"/>
    <s v="S10_1949"/>
    <s v="Tokyo Collectables, Ltd"/>
    <s v="+81 3 3584 0555"/>
    <s v="2-2-8 Roppongi"/>
    <s v="N/A"/>
    <s v="Minato-ku"/>
    <s v="Tokyo"/>
    <s v="106-0032"/>
    <x v="11"/>
    <s v="Japan"/>
    <s v="Shimamura"/>
    <s v="Akiko"/>
    <s v="Large"/>
  </r>
  <r>
    <n v="10270"/>
    <n v="21"/>
    <n v="100"/>
    <n v="9"/>
    <n v="4905.3900000000003"/>
    <x v="40"/>
    <x v="2"/>
    <s v="Shipped"/>
    <n v="3"/>
    <n v="7"/>
    <n v="2004"/>
    <x v="1"/>
    <n v="214"/>
    <s v="S10_1949"/>
    <s v="Souveniers And Things Co."/>
    <s v="+61 2 9495 8555"/>
    <s v="Monitor Money Building, 815 Pacific Hwy"/>
    <s v="Level 6"/>
    <s v="Chatswood"/>
    <s v="NSW"/>
    <n v="2067"/>
    <x v="3"/>
    <s v="APAC"/>
    <s v="Huxley"/>
    <s v="Adrian"/>
    <s v="Medium"/>
  </r>
  <r>
    <n v="10280"/>
    <n v="34"/>
    <n v="100"/>
    <n v="2"/>
    <n v="8014.82"/>
    <x v="41"/>
    <x v="3"/>
    <s v="Shipped"/>
    <n v="3"/>
    <n v="8"/>
    <n v="2004"/>
    <x v="1"/>
    <n v="214"/>
    <s v="S10_1949"/>
    <s v="Amica Models &amp; Co."/>
    <s v="011-4988555"/>
    <s v="Via Monte Bianco 34"/>
    <s v="N/A"/>
    <s v="Torino"/>
    <s v="N/A"/>
    <n v="10100"/>
    <x v="12"/>
    <s v="EMEA"/>
    <s v="Accorti"/>
    <s v="Paolo"/>
    <s v="Large"/>
  </r>
  <r>
    <n v="10291"/>
    <n v="37"/>
    <n v="100"/>
    <n v="11"/>
    <n v="7136.19"/>
    <x v="42"/>
    <x v="10"/>
    <s v="Shipped"/>
    <n v="3"/>
    <n v="9"/>
    <n v="2004"/>
    <x v="1"/>
    <n v="214"/>
    <s v="S10_1949"/>
    <s v="Scandinavian Gift Ideas"/>
    <s v="0695-34 6555"/>
    <s v="?kergatan 24"/>
    <s v="N/A"/>
    <s v="Boras"/>
    <s v="N/A"/>
    <s v="S-844 67"/>
    <x v="8"/>
    <s v="EMEA"/>
    <s v="Larsson"/>
    <s v="Maria"/>
    <s v="Large"/>
  </r>
  <r>
    <n v="10304"/>
    <n v="47"/>
    <n v="100"/>
    <n v="6"/>
    <n v="10172.700000000001"/>
    <x v="43"/>
    <x v="4"/>
    <s v="Shipped"/>
    <n v="4"/>
    <n v="10"/>
    <n v="2004"/>
    <x v="1"/>
    <n v="214"/>
    <s v="S10_1949"/>
    <s v="Auto Assoc. &amp; Cie."/>
    <s v="30.59.8555"/>
    <s v="67, avenue de l'Europe"/>
    <s v="N/A"/>
    <s v="Versailles"/>
    <s v="N/A"/>
    <n v="78000"/>
    <x v="1"/>
    <s v="EMEA"/>
    <s v="Tonini"/>
    <s v="Daniel"/>
    <s v="Large"/>
  </r>
  <r>
    <n v="10312"/>
    <n v="48"/>
    <n v="100"/>
    <n v="3"/>
    <n v="11623.7"/>
    <x v="44"/>
    <x v="4"/>
    <s v="Shipped"/>
    <n v="4"/>
    <n v="10"/>
    <n v="2004"/>
    <x v="1"/>
    <n v="214"/>
    <s v="S10_1949"/>
    <s v="Mini Gifts Distributors Ltd."/>
    <n v="4155551450"/>
    <s v="5677 Strong St."/>
    <s v="N/A"/>
    <s v="San Rafael"/>
    <s v="CA"/>
    <n v="97562"/>
    <x v="0"/>
    <s v="NA"/>
    <s v="Nelson"/>
    <s v="Valarie"/>
    <s v="Large"/>
  </r>
  <r>
    <n v="10322"/>
    <n v="40"/>
    <n v="100"/>
    <n v="1"/>
    <n v="6000.4"/>
    <x v="45"/>
    <x v="5"/>
    <s v="Shipped"/>
    <n v="4"/>
    <n v="11"/>
    <n v="2004"/>
    <x v="1"/>
    <n v="214"/>
    <s v="S10_1949"/>
    <s v="Online Diecast Creations Co."/>
    <n v="6035558647"/>
    <s v="2304 Long Airport Avenue"/>
    <s v="N/A"/>
    <s v="Nashua"/>
    <s v="NH"/>
    <n v="62005"/>
    <x v="0"/>
    <s v="NA"/>
    <s v="Young"/>
    <s v="Valarie"/>
    <s v="Medium"/>
  </r>
  <r>
    <n v="10333"/>
    <n v="26"/>
    <n v="100"/>
    <n v="3"/>
    <n v="3003"/>
    <x v="46"/>
    <x v="5"/>
    <s v="Shipped"/>
    <n v="4"/>
    <n v="11"/>
    <n v="2004"/>
    <x v="1"/>
    <n v="214"/>
    <s v="S10_1949"/>
    <s v="Mini Wheels Co."/>
    <n v="6505555787"/>
    <s v="5557 North Pendale Street"/>
    <s v="N/A"/>
    <s v="San Francisco"/>
    <s v="CA"/>
    <s v="N/A"/>
    <x v="0"/>
    <s v="NA"/>
    <s v="Murphy"/>
    <s v="Julie"/>
    <s v="Medium"/>
  </r>
  <r>
    <n v="10347"/>
    <n v="30"/>
    <n v="100"/>
    <n v="1"/>
    <n v="3944.7"/>
    <x v="47"/>
    <x v="5"/>
    <s v="Shipped"/>
    <n v="4"/>
    <n v="11"/>
    <n v="2004"/>
    <x v="1"/>
    <n v="214"/>
    <s v="S10_1949"/>
    <s v="Australian Collectors, Co."/>
    <s v="03 9520 4555"/>
    <s v="636 St Kilda Road"/>
    <s v="Level 3"/>
    <s v="Melbourne"/>
    <s v="Victoria"/>
    <n v="3004"/>
    <x v="3"/>
    <s v="APAC"/>
    <s v="Ferguson"/>
    <s v="Peter"/>
    <s v="Medium"/>
  </r>
  <r>
    <n v="10357"/>
    <n v="32"/>
    <n v="100"/>
    <n v="10"/>
    <n v="5691.84"/>
    <x v="48"/>
    <x v="6"/>
    <s v="Shipped"/>
    <n v="4"/>
    <n v="12"/>
    <n v="2004"/>
    <x v="1"/>
    <n v="214"/>
    <s v="S10_1949"/>
    <s v="Mini Gifts Distributors Ltd."/>
    <n v="4155551450"/>
    <s v="5677 Strong St."/>
    <s v="N/A"/>
    <s v="San Rafael"/>
    <s v="CA"/>
    <n v="97562"/>
    <x v="0"/>
    <s v="NA"/>
    <s v="Nelson"/>
    <s v="Valarie"/>
    <s v="Medium"/>
  </r>
  <r>
    <n v="10369"/>
    <n v="41"/>
    <n v="100"/>
    <n v="2"/>
    <n v="4514.92"/>
    <x v="49"/>
    <x v="7"/>
    <s v="Shipped"/>
    <n v="1"/>
    <n v="1"/>
    <n v="2005"/>
    <x v="1"/>
    <n v="214"/>
    <s v="S10_1949"/>
    <s v="Collectables For Less Inc."/>
    <n v="6175558555"/>
    <s v="7825 Douglas Av."/>
    <s v="N/A"/>
    <s v="Brickhaven"/>
    <s v="MA"/>
    <n v="58339"/>
    <x v="0"/>
    <s v="NA"/>
    <s v="Nelson"/>
    <s v="Allen"/>
    <s v="Medium"/>
  </r>
  <r>
    <n v="10381"/>
    <n v="36"/>
    <n v="100"/>
    <n v="3"/>
    <n v="8254.7999999999993"/>
    <x v="50"/>
    <x v="0"/>
    <s v="Shipped"/>
    <n v="1"/>
    <n v="2"/>
    <n v="2005"/>
    <x v="1"/>
    <n v="214"/>
    <s v="S10_1949"/>
    <s v="Corporate Gift Ideas Co."/>
    <n v="6505551386"/>
    <s v="7734 Strong St."/>
    <s v="N/A"/>
    <s v="San Francisco"/>
    <s v="CA"/>
    <s v="N/A"/>
    <x v="0"/>
    <s v="NA"/>
    <s v="Brown"/>
    <s v="Julie"/>
    <s v="Large"/>
  </r>
  <r>
    <n v="10391"/>
    <n v="24"/>
    <n v="100"/>
    <n v="4"/>
    <n v="2416.56"/>
    <x v="51"/>
    <x v="11"/>
    <s v="Shipped"/>
    <n v="1"/>
    <n v="3"/>
    <n v="2005"/>
    <x v="1"/>
    <n v="214"/>
    <s v="S10_1949"/>
    <s v="Anna's Decorations, Ltd"/>
    <s v="02 9936 8555"/>
    <s v="201 Miller Street"/>
    <s v="Level 15"/>
    <s v="North Sydney"/>
    <s v="NSW"/>
    <n v="2060"/>
    <x v="3"/>
    <s v="APAC"/>
    <s v="O'Hara"/>
    <s v="Anna"/>
    <s v="Small"/>
  </r>
  <r>
    <n v="10411"/>
    <n v="23"/>
    <n v="100"/>
    <n v="9"/>
    <n v="4140.2299999999996"/>
    <x v="52"/>
    <x v="1"/>
    <s v="Shipped"/>
    <n v="2"/>
    <n v="5"/>
    <n v="2005"/>
    <x v="1"/>
    <n v="214"/>
    <s v="S10_1949"/>
    <s v="Quebec Home Shopping Network"/>
    <s v="(514) 555-8054"/>
    <s v="43 rue St. Laurent"/>
    <s v="N/A"/>
    <s v="Montreal"/>
    <s v="Quebec"/>
    <s v="H1J 1C3"/>
    <x v="10"/>
    <s v="NA"/>
    <s v="Fresnisre"/>
    <s v="Jean"/>
    <s v="Medium"/>
  </r>
  <r>
    <n v="10424"/>
    <n v="50"/>
    <n v="100"/>
    <n v="6"/>
    <n v="12001"/>
    <x v="53"/>
    <x v="1"/>
    <s v="In Process"/>
    <n v="2"/>
    <n v="5"/>
    <n v="2005"/>
    <x v="1"/>
    <n v="214"/>
    <s v="S10_1949"/>
    <s v="Euro Shopping Channel"/>
    <s v="(91) 555 94 44"/>
    <s v="C/ Moralzarzal, 86"/>
    <s v="N/A"/>
    <s v="Madrid"/>
    <s v="N/A"/>
    <n v="28034"/>
    <x v="7"/>
    <s v="EMEA"/>
    <s v="Freyre"/>
    <s v="Diego"/>
    <s v="Large"/>
  </r>
  <r>
    <n v="10120"/>
    <n v="29"/>
    <n v="96.34"/>
    <n v="3"/>
    <n v="2793.86"/>
    <x v="54"/>
    <x v="8"/>
    <s v="Shipped"/>
    <n v="2"/>
    <n v="4"/>
    <n v="2003"/>
    <x v="0"/>
    <n v="118"/>
    <s v="S10_2016"/>
    <s v="Australian Collectors, Co."/>
    <s v="03 9520 4555"/>
    <s v="636 St Kilda Road"/>
    <s v="Level 3"/>
    <s v="Melbourne"/>
    <s v="Victoria"/>
    <n v="3004"/>
    <x v="3"/>
    <s v="APAC"/>
    <s v="Ferguson"/>
    <s v="Peter"/>
    <s v="Small"/>
  </r>
  <r>
    <n v="10210"/>
    <n v="23"/>
    <n v="100"/>
    <n v="2"/>
    <n v="3009.09"/>
    <x v="55"/>
    <x v="7"/>
    <s v="Shipped"/>
    <n v="1"/>
    <n v="1"/>
    <n v="2004"/>
    <x v="0"/>
    <n v="118"/>
    <s v="S10_2016"/>
    <s v="Osaka Souveniers Co."/>
    <s v="+81 06 6342 5555"/>
    <s v="Dojima Avanza 4F, 1-6-20 Dojima, Kita-ku"/>
    <s v="N/A"/>
    <s v="Osaka"/>
    <s v="Osaka"/>
    <s v="530-0003"/>
    <x v="11"/>
    <s v="Japan"/>
    <s v="Kentary"/>
    <s v="Mory"/>
    <s v="Medium"/>
  </r>
  <r>
    <n v="10236"/>
    <n v="22"/>
    <n v="100"/>
    <n v="1"/>
    <n v="2852.08"/>
    <x v="56"/>
    <x v="8"/>
    <s v="Shipped"/>
    <n v="2"/>
    <n v="4"/>
    <n v="2004"/>
    <x v="0"/>
    <n v="118"/>
    <s v="S10_2016"/>
    <s v="Motor Mint Distributors Inc."/>
    <n v="2155559857"/>
    <s v="11328 Douglas Av."/>
    <s v="N/A"/>
    <s v="Philadelphia"/>
    <s v="PA"/>
    <n v="71270"/>
    <x v="0"/>
    <s v="NA"/>
    <s v="Hernandez"/>
    <s v="Rosa"/>
    <s v="Small"/>
  </r>
  <r>
    <n v="10298"/>
    <n v="39"/>
    <n v="96.34"/>
    <n v="1"/>
    <n v="3757.26"/>
    <x v="57"/>
    <x v="10"/>
    <s v="Shipped"/>
    <n v="3"/>
    <n v="9"/>
    <n v="2004"/>
    <x v="0"/>
    <n v="118"/>
    <s v="S10_2016"/>
    <s v="Atelier graphique"/>
    <s v="40.32.2555"/>
    <s v="54, rue Royale"/>
    <s v="N/A"/>
    <s v="Nantes"/>
    <s v="N/A"/>
    <n v="44000"/>
    <x v="1"/>
    <s v="EMEA"/>
    <s v="Schmitt"/>
    <s v="Carine"/>
    <s v="Medium"/>
  </r>
  <r>
    <n v="10308"/>
    <n v="34"/>
    <n v="100"/>
    <n v="2"/>
    <n v="4043.96"/>
    <x v="17"/>
    <x v="4"/>
    <s v="Shipped"/>
    <n v="4"/>
    <n v="10"/>
    <n v="2004"/>
    <x v="0"/>
    <n v="118"/>
    <s v="S10_2016"/>
    <s v="Mini Classics"/>
    <n v="9145554562"/>
    <s v="3758 North Pendale Street"/>
    <s v="N/A"/>
    <s v="White Plains"/>
    <s v="NY"/>
    <n v="24067"/>
    <x v="0"/>
    <s v="NA"/>
    <s v="Frick"/>
    <s v="Steve"/>
    <s v="Medium"/>
  </r>
  <r>
    <n v="10339"/>
    <n v="40"/>
    <n v="68.92"/>
    <n v="4"/>
    <n v="2756.8"/>
    <x v="58"/>
    <x v="5"/>
    <s v="Shipped"/>
    <n v="4"/>
    <n v="11"/>
    <n v="2004"/>
    <x v="0"/>
    <n v="118"/>
    <s v="S10_2016"/>
    <s v="Tokyo Collectables, Ltd"/>
    <s v="+81 3 3584 0555"/>
    <s v="2-2-8 Roppongi"/>
    <s v="N/A"/>
    <s v="Minato-ku"/>
    <s v="Tokyo"/>
    <s v="106-0032"/>
    <x v="11"/>
    <s v="Japan"/>
    <s v="Shimamura"/>
    <s v="Akiko"/>
    <s v="Small"/>
  </r>
  <r>
    <n v="10374"/>
    <n v="39"/>
    <n v="100"/>
    <n v="5"/>
    <n v="5288.01"/>
    <x v="59"/>
    <x v="0"/>
    <s v="Shipped"/>
    <n v="1"/>
    <n v="2"/>
    <n v="2005"/>
    <x v="0"/>
    <n v="118"/>
    <s v="S10_2016"/>
    <s v="Australian Gift Network, Co"/>
    <s v="61-7-3844-6555"/>
    <s v="31 Duncan St. West End"/>
    <s v="N/A"/>
    <s v="South Brisbane"/>
    <s v="Queensland"/>
    <n v="4101"/>
    <x v="3"/>
    <s v="APAC"/>
    <s v="Calaghan"/>
    <s v="Tony"/>
    <s v="Medium"/>
  </r>
  <r>
    <n v="10402"/>
    <n v="45"/>
    <n v="100"/>
    <n v="1"/>
    <n v="5833.8"/>
    <x v="60"/>
    <x v="8"/>
    <s v="Shipped"/>
    <n v="2"/>
    <n v="4"/>
    <n v="2005"/>
    <x v="0"/>
    <n v="118"/>
    <s v="S10_2016"/>
    <s v="Auto Canal Petit"/>
    <s v="(1) 47.55.6555"/>
    <s v="25, rue Lauriston"/>
    <s v="N/A"/>
    <s v="Paris"/>
    <s v="N/A"/>
    <n v="75016"/>
    <x v="1"/>
    <s v="EMEA"/>
    <s v="Perrier"/>
    <s v="Dominique"/>
    <s v="Medium"/>
  </r>
  <r>
    <n v="10362"/>
    <n v="22"/>
    <n v="100"/>
    <n v="4"/>
    <n v="3664.1"/>
    <x v="61"/>
    <x v="7"/>
    <s v="Shipped"/>
    <n v="1"/>
    <n v="1"/>
    <n v="2005"/>
    <x v="0"/>
    <n v="193"/>
    <s v="S10_4698"/>
    <s v="Technics Stores Inc."/>
    <n v="6505556809"/>
    <s v="9408 Furth Circle"/>
    <s v="N/A"/>
    <s v="Burlingame"/>
    <s v="CA"/>
    <n v="94217"/>
    <x v="0"/>
    <s v="NA"/>
    <s v="Hirano"/>
    <s v="Juri"/>
    <s v="Medium"/>
  </r>
  <r>
    <n v="10105"/>
    <n v="50"/>
    <n v="100"/>
    <n v="2"/>
    <n v="7208"/>
    <x v="62"/>
    <x v="0"/>
    <s v="Shipped"/>
    <n v="1"/>
    <n v="2"/>
    <n v="2003"/>
    <x v="1"/>
    <n v="136"/>
    <s v="S10_4757"/>
    <s v="Danish Wholesale Imports"/>
    <s v="31 12 3555"/>
    <s v="Vinb'ltet 34"/>
    <s v="N/A"/>
    <s v="Kobenhavn"/>
    <s v="N/A"/>
    <n v="1734"/>
    <x v="13"/>
    <s v="EMEA"/>
    <s v="Petersen"/>
    <s v="Jytte"/>
    <s v="Large"/>
  </r>
  <r>
    <n v="10119"/>
    <n v="46"/>
    <n v="100"/>
    <n v="11"/>
    <n v="5004.8"/>
    <x v="63"/>
    <x v="8"/>
    <s v="Shipped"/>
    <n v="2"/>
    <n v="4"/>
    <n v="2003"/>
    <x v="1"/>
    <n v="136"/>
    <s v="S10_4757"/>
    <s v="Salzburg Collectables"/>
    <s v="6562-9555"/>
    <s v="Geislweg 14"/>
    <s v="N/A"/>
    <s v="Salzburg"/>
    <s v="N/A"/>
    <n v="5020"/>
    <x v="5"/>
    <s v="EMEA"/>
    <s v="Pipps"/>
    <s v="Georg"/>
    <s v="Medium"/>
  </r>
  <r>
    <n v="10129"/>
    <n v="33"/>
    <n v="100"/>
    <n v="2"/>
    <n v="4398.24"/>
    <x v="64"/>
    <x v="9"/>
    <s v="Shipped"/>
    <n v="2"/>
    <n v="6"/>
    <n v="2003"/>
    <x v="1"/>
    <n v="136"/>
    <s v="S10_4757"/>
    <s v="Stylish Desk Decors, Co."/>
    <s v="(171) 555-0297"/>
    <s v="35 King George"/>
    <s v="N/A"/>
    <s v="London"/>
    <s v="N/A"/>
    <s v="WX3 6FW"/>
    <x v="6"/>
    <s v="EMEA"/>
    <s v="Brown"/>
    <s v="Ann"/>
    <s v="Medium"/>
  </r>
  <r>
    <n v="10143"/>
    <n v="49"/>
    <n v="100"/>
    <n v="15"/>
    <n v="5597.76"/>
    <x v="65"/>
    <x v="3"/>
    <s v="Shipped"/>
    <n v="3"/>
    <n v="8"/>
    <n v="2003"/>
    <x v="1"/>
    <n v="136"/>
    <s v="S10_4757"/>
    <s v="Mini Creations Ltd."/>
    <n v="5085559555"/>
    <s v="4575 Hillside Dr."/>
    <s v="N/A"/>
    <s v="New Bedford"/>
    <s v="MA"/>
    <n v="50553"/>
    <x v="0"/>
    <s v="NA"/>
    <s v="Tam"/>
    <s v="Wing C"/>
    <s v="Medium"/>
  </r>
  <r>
    <n v="10155"/>
    <n v="32"/>
    <n v="100"/>
    <n v="13"/>
    <n v="4526.08"/>
    <x v="66"/>
    <x v="4"/>
    <s v="Shipped"/>
    <n v="4"/>
    <n v="10"/>
    <n v="2003"/>
    <x v="1"/>
    <n v="136"/>
    <s v="S10_4757"/>
    <s v="Toys of Finland, Co."/>
    <s v="90-224 8555"/>
    <s v="Keskuskatu 45"/>
    <s v="N/A"/>
    <s v="Helsinki"/>
    <s v="N/A"/>
    <n v="21240"/>
    <x v="4"/>
    <s v="EMEA"/>
    <s v="Karttunen"/>
    <s v="Matti"/>
    <s v="Medium"/>
  </r>
  <r>
    <n v="10167"/>
    <n v="44"/>
    <n v="100"/>
    <n v="9"/>
    <n v="5924.16"/>
    <x v="67"/>
    <x v="4"/>
    <s v="Cancelled"/>
    <n v="4"/>
    <n v="10"/>
    <n v="2003"/>
    <x v="1"/>
    <n v="136"/>
    <s v="S10_4757"/>
    <s v="Scandinavian Gift Ideas"/>
    <s v="0695-34 6555"/>
    <s v="?kergatan 24"/>
    <s v="N/A"/>
    <s v="Boras"/>
    <s v="N/A"/>
    <s v="S-844 67"/>
    <x v="8"/>
    <s v="EMEA"/>
    <s v="Larsson"/>
    <s v="Maria"/>
    <s v="Medium"/>
  </r>
  <r>
    <n v="10178"/>
    <n v="24"/>
    <n v="100"/>
    <n v="12"/>
    <n v="3492.48"/>
    <x v="68"/>
    <x v="5"/>
    <s v="Shipped"/>
    <n v="4"/>
    <n v="11"/>
    <n v="2003"/>
    <x v="1"/>
    <n v="136"/>
    <s v="S10_4757"/>
    <s v="Alpha Cognac"/>
    <s v="61.77.6555"/>
    <s v="1 rue Alsace-Lorraine"/>
    <s v="N/A"/>
    <s v="Toulouse"/>
    <s v="N/A"/>
    <n v="31000"/>
    <x v="1"/>
    <s v="EMEA"/>
    <s v="Roulet"/>
    <s v="Annette"/>
    <s v="Medium"/>
  </r>
  <r>
    <n v="10186"/>
    <n v="26"/>
    <n v="100"/>
    <n v="9"/>
    <n v="3854.24"/>
    <x v="69"/>
    <x v="5"/>
    <s v="Shipped"/>
    <n v="4"/>
    <n v="11"/>
    <n v="2003"/>
    <x v="1"/>
    <n v="136"/>
    <s v="S10_4757"/>
    <s v="Double Decker Gift Stores, Ltd"/>
    <s v="(171) 555-7555"/>
    <s v="120 Hanover Sq."/>
    <s v="N/A"/>
    <s v="London"/>
    <s v="N/A"/>
    <s v="WA1 1DP"/>
    <x v="6"/>
    <s v="EMEA"/>
    <s v="Hardy"/>
    <s v="Thomas"/>
    <s v="Medium"/>
  </r>
  <r>
    <n v="10197"/>
    <n v="45"/>
    <n v="100"/>
    <n v="6"/>
    <n v="5324.4"/>
    <x v="70"/>
    <x v="5"/>
    <s v="Shipped"/>
    <n v="4"/>
    <n v="11"/>
    <n v="2003"/>
    <x v="1"/>
    <n v="136"/>
    <s v="S10_4757"/>
    <s v="Enaco Distributors"/>
    <s v="(93) 203 4555"/>
    <s v="Rambla de Catalu¤a, 23"/>
    <s v="N/A"/>
    <s v="Barcelona"/>
    <s v="N/A"/>
    <n v="8022"/>
    <x v="7"/>
    <s v="EMEA"/>
    <s v="Saavedra"/>
    <s v="Eduardo"/>
    <s v="Medium"/>
  </r>
  <r>
    <n v="10209"/>
    <n v="39"/>
    <n v="100"/>
    <n v="8"/>
    <n v="5197.92"/>
    <x v="71"/>
    <x v="7"/>
    <s v="Shipped"/>
    <n v="1"/>
    <n v="1"/>
    <n v="2004"/>
    <x v="1"/>
    <n v="136"/>
    <s v="S10_4757"/>
    <s v="Men 'R' US Retailers, Ltd."/>
    <n v="2155554369"/>
    <s v="6047 Douglas Av."/>
    <s v="N/A"/>
    <s v="Los Angeles"/>
    <s v="CA"/>
    <s v="N/A"/>
    <x v="0"/>
    <s v="NA"/>
    <s v="Chandler"/>
    <s v="Michael"/>
    <s v="Medium"/>
  </r>
  <r>
    <n v="10222"/>
    <n v="49"/>
    <n v="100"/>
    <n v="12"/>
    <n v="5997.6"/>
    <x v="72"/>
    <x v="0"/>
    <s v="Shipped"/>
    <n v="1"/>
    <n v="2"/>
    <n v="2004"/>
    <x v="1"/>
    <n v="136"/>
    <s v="S10_4757"/>
    <s v="Collectable Mini Designs Co."/>
    <n v="7605558146"/>
    <s v="361 Furth Circle"/>
    <s v="N/A"/>
    <s v="San Diego"/>
    <s v="CA"/>
    <n v="91217"/>
    <x v="0"/>
    <s v="NA"/>
    <s v="Thompson"/>
    <s v="Valarie"/>
    <s v="Medium"/>
  </r>
  <r>
    <n v="10248"/>
    <n v="20"/>
    <n v="100"/>
    <n v="3"/>
    <n v="2910.4"/>
    <x v="73"/>
    <x v="1"/>
    <s v="Cancelled"/>
    <n v="2"/>
    <n v="5"/>
    <n v="2004"/>
    <x v="1"/>
    <n v="136"/>
    <s v="S10_4757"/>
    <s v="Land of Toys Inc."/>
    <n v="2125557818"/>
    <s v="897 Long Airport Avenue"/>
    <s v="N/A"/>
    <s v="NYC"/>
    <s v="NY"/>
    <n v="10022"/>
    <x v="0"/>
    <s v="NA"/>
    <s v="Yu"/>
    <s v="Kwai"/>
    <s v="Small"/>
  </r>
  <r>
    <n v="10261"/>
    <n v="27"/>
    <n v="100"/>
    <n v="1"/>
    <n v="3378.24"/>
    <x v="74"/>
    <x v="9"/>
    <s v="Shipped"/>
    <n v="2"/>
    <n v="6"/>
    <n v="2004"/>
    <x v="1"/>
    <n v="136"/>
    <s v="S10_4757"/>
    <s v="Quebec Home Shopping Network"/>
    <s v="(514) 555-8054"/>
    <s v="43 rue St. Laurent"/>
    <s v="N/A"/>
    <s v="Montreal"/>
    <s v="Quebec"/>
    <s v="H1J 1C3"/>
    <x v="10"/>
    <s v="NA"/>
    <s v="Fresnisre"/>
    <s v="Jean"/>
    <s v="Medium"/>
  </r>
  <r>
    <n v="10273"/>
    <n v="30"/>
    <n v="100"/>
    <n v="4"/>
    <n v="3508.8"/>
    <x v="75"/>
    <x v="2"/>
    <s v="Shipped"/>
    <n v="3"/>
    <n v="7"/>
    <n v="2004"/>
    <x v="1"/>
    <n v="136"/>
    <s v="S10_4757"/>
    <s v="Petit Auto"/>
    <s v="(02) 5554 67"/>
    <s v="Rue Joseph-Bens 532"/>
    <s v="N/A"/>
    <s v="Bruxelles"/>
    <s v="N/A"/>
    <s v="B-1180"/>
    <x v="14"/>
    <s v="EMEA"/>
    <s v="Dewey"/>
    <s v="Catherine"/>
    <s v="Medium"/>
  </r>
  <r>
    <n v="10283"/>
    <n v="25"/>
    <n v="100"/>
    <n v="6"/>
    <n v="2992"/>
    <x v="76"/>
    <x v="3"/>
    <s v="Shipped"/>
    <n v="3"/>
    <n v="8"/>
    <n v="2004"/>
    <x v="1"/>
    <n v="136"/>
    <s v="S10_4757"/>
    <s v="Royal Canadian Collectables, Ltd."/>
    <s v="(604) 555-4555"/>
    <s v="23 Tsawassen Blvd."/>
    <s v="N/A"/>
    <s v="Tsawassen"/>
    <s v="BC"/>
    <s v="T2F 8M4"/>
    <x v="10"/>
    <s v="NA"/>
    <s v="Lincoln"/>
    <s v="Elizabeth"/>
    <s v="Small"/>
  </r>
  <r>
    <n v="10295"/>
    <n v="24"/>
    <n v="100"/>
    <n v="1"/>
    <n v="3427.2"/>
    <x v="77"/>
    <x v="10"/>
    <s v="Shipped"/>
    <n v="3"/>
    <n v="9"/>
    <n v="2004"/>
    <x v="1"/>
    <n v="136"/>
    <s v="S10_4757"/>
    <s v="Gifts4AllAges.com"/>
    <n v="6175559555"/>
    <s v="8616 Spinnaker Dr."/>
    <s v="N/A"/>
    <s v="Boston"/>
    <s v="MA"/>
    <n v="51003"/>
    <x v="0"/>
    <s v="NA"/>
    <s v="Yoshido"/>
    <s v="Juri"/>
    <s v="Medium"/>
  </r>
  <r>
    <n v="10307"/>
    <n v="22"/>
    <n v="100"/>
    <n v="9"/>
    <n v="2692.8"/>
    <x v="78"/>
    <x v="4"/>
    <s v="Shipped"/>
    <n v="4"/>
    <n v="10"/>
    <n v="2004"/>
    <x v="1"/>
    <n v="136"/>
    <s v="S10_4757"/>
    <s v="Classic Gift Ideas, Inc"/>
    <n v="2155554695"/>
    <s v="782 First Street"/>
    <s v="N/A"/>
    <s v="Philadelphia"/>
    <s v="PA"/>
    <n v="71270"/>
    <x v="0"/>
    <s v="NA"/>
    <s v="Cervantes"/>
    <s v="Francisca"/>
    <s v="Small"/>
  </r>
  <r>
    <n v="10316"/>
    <n v="33"/>
    <n v="100"/>
    <n v="17"/>
    <n v="4128.96"/>
    <x v="79"/>
    <x v="5"/>
    <s v="Shipped"/>
    <n v="4"/>
    <n v="11"/>
    <n v="2004"/>
    <x v="1"/>
    <n v="136"/>
    <s v="S10_4757"/>
    <s v="giftsbymail.co.uk"/>
    <s v="(198) 555-8888"/>
    <s v="Garden House Crowther Way"/>
    <s v="N/A"/>
    <s v="Cowes"/>
    <s v="Isle of Wight"/>
    <s v="PO31 7PJ"/>
    <x v="6"/>
    <s v="EMEA"/>
    <s v="Bennett"/>
    <s v="Helen"/>
    <s v="Medium"/>
  </r>
  <r>
    <n v="10325"/>
    <n v="47"/>
    <n v="64.930000000000007"/>
    <n v="6"/>
    <n v="3051.71"/>
    <x v="80"/>
    <x v="5"/>
    <s v="Shipped"/>
    <n v="4"/>
    <n v="11"/>
    <n v="2004"/>
    <x v="1"/>
    <n v="136"/>
    <s v="S10_4757"/>
    <s v="Baane Mini Imports"/>
    <s v="07-98 9555"/>
    <s v="Erling Skakkes gate 78"/>
    <s v="N/A"/>
    <s v="Stavern"/>
    <s v="N/A"/>
    <n v="4110"/>
    <x v="2"/>
    <s v="EMEA"/>
    <s v="Bergulfsen"/>
    <s v="Jonas"/>
    <s v="Medium"/>
  </r>
  <r>
    <n v="10337"/>
    <n v="25"/>
    <n v="48.05"/>
    <n v="8"/>
    <n v="1201.25"/>
    <x v="81"/>
    <x v="5"/>
    <s v="Shipped"/>
    <n v="4"/>
    <n v="11"/>
    <n v="2004"/>
    <x v="1"/>
    <n v="136"/>
    <s v="S10_4757"/>
    <s v="Classic Legends Inc."/>
    <n v="2125558493"/>
    <s v="5905 Pompton St."/>
    <s v="Suite 750"/>
    <s v="NYC"/>
    <s v="NY"/>
    <n v="10022"/>
    <x v="0"/>
    <s v="NA"/>
    <s v="Hernandez"/>
    <s v="Maria"/>
    <s v="Small"/>
  </r>
  <r>
    <n v="10350"/>
    <n v="26"/>
    <n v="75.47"/>
    <n v="5"/>
    <n v="1962.22"/>
    <x v="82"/>
    <x v="6"/>
    <s v="Shipped"/>
    <n v="4"/>
    <n v="12"/>
    <n v="2004"/>
    <x v="1"/>
    <n v="136"/>
    <s v="S10_4757"/>
    <s v="Euro Shopping Channel"/>
    <s v="(91) 555 94 44"/>
    <s v="C/ Moralzarzal, 86"/>
    <s v="N/A"/>
    <s v="Madrid"/>
    <s v="N/A"/>
    <n v="28034"/>
    <x v="7"/>
    <s v="EMEA"/>
    <s v="Freyre"/>
    <s v="Diego"/>
    <s v="Small"/>
  </r>
  <r>
    <n v="10359"/>
    <n v="48"/>
    <n v="54.68"/>
    <n v="6"/>
    <n v="2624.64"/>
    <x v="83"/>
    <x v="6"/>
    <s v="Shipped"/>
    <n v="4"/>
    <n v="12"/>
    <n v="2004"/>
    <x v="1"/>
    <n v="136"/>
    <s v="S10_4757"/>
    <s v="Reims Collectables"/>
    <s v="26.47.1555"/>
    <s v="59 rue de l'Abbaye"/>
    <s v="N/A"/>
    <s v="Reims"/>
    <s v="N/A"/>
    <n v="51100"/>
    <x v="1"/>
    <s v="EMEA"/>
    <s v="Henriot"/>
    <s v="Paul"/>
    <s v="Small"/>
  </r>
  <r>
    <n v="10373"/>
    <n v="39"/>
    <n v="100"/>
    <n v="3"/>
    <n v="4046.25"/>
    <x v="84"/>
    <x v="7"/>
    <s v="Shipped"/>
    <n v="1"/>
    <n v="1"/>
    <n v="2005"/>
    <x v="1"/>
    <n v="136"/>
    <s v="S10_4757"/>
    <s v="Oulu Toy Supplies, Inc."/>
    <s v="981-443655"/>
    <s v="Torikatu 38"/>
    <s v="N/A"/>
    <s v="Oulu"/>
    <s v="N/A"/>
    <n v="90110"/>
    <x v="4"/>
    <s v="EMEA"/>
    <s v="Koskitalo"/>
    <s v="Pirkko"/>
    <s v="Medium"/>
  </r>
  <r>
    <n v="10384"/>
    <n v="34"/>
    <n v="100"/>
    <n v="4"/>
    <n v="4846.7"/>
    <x v="85"/>
    <x v="0"/>
    <s v="Shipped"/>
    <n v="1"/>
    <n v="2"/>
    <n v="2005"/>
    <x v="1"/>
    <n v="136"/>
    <s v="S10_4757"/>
    <s v="Corporate Gift Ideas Co."/>
    <n v="6505551386"/>
    <s v="7734 Strong St."/>
    <s v="N/A"/>
    <s v="San Francisco"/>
    <s v="CA"/>
    <s v="N/A"/>
    <x v="0"/>
    <s v="NA"/>
    <s v="Brown"/>
    <s v="Julie"/>
    <s v="Medium"/>
  </r>
  <r>
    <n v="10395"/>
    <n v="32"/>
    <n v="100"/>
    <n v="2"/>
    <n v="3370.56"/>
    <x v="86"/>
    <x v="11"/>
    <s v="Shipped"/>
    <n v="1"/>
    <n v="3"/>
    <n v="2005"/>
    <x v="1"/>
    <n v="136"/>
    <s v="S10_4757"/>
    <s v="Lyon Souveniers"/>
    <s v="+33 1 46 62 7555"/>
    <s v="27 rue du Colonel Pierre Avia"/>
    <s v="N/A"/>
    <s v="Paris"/>
    <s v="N/A"/>
    <n v="75508"/>
    <x v="1"/>
    <s v="EMEA"/>
    <s v="Da Cunha"/>
    <s v="Daniel"/>
    <s v="Medium"/>
  </r>
  <r>
    <n v="10400"/>
    <n v="64"/>
    <n v="100"/>
    <n v="9"/>
    <n v="9661.44"/>
    <x v="87"/>
    <x v="8"/>
    <s v="Shipped"/>
    <n v="2"/>
    <n v="4"/>
    <n v="2005"/>
    <x v="1"/>
    <n v="136"/>
    <s v="S10_4757"/>
    <s v="The Sharp Gifts Warehouse"/>
    <n v="4085553659"/>
    <s v="3086 Ingle Ln."/>
    <s v="N/A"/>
    <s v="San Jose"/>
    <s v="CA"/>
    <n v="94217"/>
    <x v="0"/>
    <s v="NA"/>
    <s v="Frick"/>
    <s v="Sue"/>
    <s v="Large"/>
  </r>
  <r>
    <n v="10414"/>
    <n v="19"/>
    <n v="100"/>
    <n v="3"/>
    <n v="2764.88"/>
    <x v="88"/>
    <x v="1"/>
    <s v="On Hold"/>
    <n v="2"/>
    <n v="5"/>
    <n v="2005"/>
    <x v="1"/>
    <n v="136"/>
    <s v="S10_4757"/>
    <s v="Gifts4AllAges.com"/>
    <n v="6175559555"/>
    <s v="8616 Spinnaker Dr."/>
    <s v="N/A"/>
    <s v="Boston"/>
    <s v="MA"/>
    <n v="51003"/>
    <x v="0"/>
    <s v="NA"/>
    <s v="Yoshido"/>
    <s v="Juri"/>
    <s v="Small"/>
  </r>
  <r>
    <n v="10114"/>
    <n v="31"/>
    <n v="100"/>
    <n v="8"/>
    <n v="4305.28"/>
    <x v="89"/>
    <x v="8"/>
    <s v="Shipped"/>
    <n v="2"/>
    <n v="4"/>
    <n v="2003"/>
    <x v="1"/>
    <n v="147"/>
    <s v="S10_4962"/>
    <s v="La Corne D'abondance, Co."/>
    <s v="(1) 42.34.2555"/>
    <s v="265, boulevard Charonne"/>
    <s v="N/A"/>
    <s v="Paris"/>
    <s v="N/A"/>
    <n v="75012"/>
    <x v="1"/>
    <s v="EMEA"/>
    <s v="Bertrand"/>
    <s v="Marie"/>
    <s v="Medium"/>
  </r>
  <r>
    <n v="10164"/>
    <n v="21"/>
    <n v="100"/>
    <n v="2"/>
    <n v="3536.82"/>
    <x v="90"/>
    <x v="4"/>
    <s v="Resolved"/>
    <n v="4"/>
    <n v="10"/>
    <n v="2003"/>
    <x v="1"/>
    <n v="147"/>
    <s v="S10_4962"/>
    <s v="Mini Auto Werke"/>
    <s v="7675-3555"/>
    <s v="Kirchgasse 6"/>
    <s v="N/A"/>
    <s v="Graz"/>
    <s v="N/A"/>
    <n v="8010"/>
    <x v="5"/>
    <s v="EMEA"/>
    <s v="Mendel"/>
    <s v="Roland"/>
    <s v="Medium"/>
  </r>
  <r>
    <n v="10175"/>
    <n v="33"/>
    <n v="100"/>
    <n v="9"/>
    <n v="5362.83"/>
    <x v="32"/>
    <x v="5"/>
    <s v="Shipped"/>
    <n v="4"/>
    <n v="11"/>
    <n v="2003"/>
    <x v="1"/>
    <n v="147"/>
    <s v="S10_4962"/>
    <s v="Stylish Desk Decors, Co."/>
    <s v="(171) 555-0297"/>
    <s v="35 King George"/>
    <s v="N/A"/>
    <s v="London"/>
    <s v="N/A"/>
    <s v="WX3 6FW"/>
    <x v="6"/>
    <s v="EMEA"/>
    <s v="Brown"/>
    <s v="Ann"/>
    <s v="Medium"/>
  </r>
  <r>
    <n v="10207"/>
    <n v="31"/>
    <n v="100"/>
    <n v="15"/>
    <n v="4076.19"/>
    <x v="91"/>
    <x v="6"/>
    <s v="Shipped"/>
    <n v="4"/>
    <n v="12"/>
    <n v="2003"/>
    <x v="1"/>
    <n v="147"/>
    <s v="S10_4962"/>
    <s v="Diecast Collectables"/>
    <n v="6175552555"/>
    <s v="6251 Ingle Ln."/>
    <s v="N/A"/>
    <s v="Boston"/>
    <s v="MA"/>
    <n v="51003"/>
    <x v="0"/>
    <s v="NA"/>
    <s v="Franco"/>
    <s v="Valarie"/>
    <s v="Medium"/>
  </r>
  <r>
    <n v="10217"/>
    <n v="48"/>
    <n v="100"/>
    <n v="4"/>
    <n v="7020.48"/>
    <x v="92"/>
    <x v="0"/>
    <s v="Shipped"/>
    <n v="1"/>
    <n v="2"/>
    <n v="2004"/>
    <x v="1"/>
    <n v="147"/>
    <s v="S10_4962"/>
    <s v="Handji Gifts&amp; Co"/>
    <s v="+65 224 1555"/>
    <s v="Village Close - 106 Linden Road Sandown"/>
    <s v="2nd Floor"/>
    <s v="Singapore"/>
    <s v="N/A"/>
    <n v="69045"/>
    <x v="9"/>
    <s v="APAC"/>
    <s v="Victorino"/>
    <s v="Wendy"/>
    <s v="Large"/>
  </r>
  <r>
    <n v="10229"/>
    <n v="50"/>
    <n v="100"/>
    <n v="9"/>
    <n v="6426.5"/>
    <x v="93"/>
    <x v="11"/>
    <s v="Shipped"/>
    <n v="1"/>
    <n v="3"/>
    <n v="2004"/>
    <x v="1"/>
    <n v="147"/>
    <s v="S10_4962"/>
    <s v="Mini Gifts Distributors Ltd."/>
    <n v="4155551450"/>
    <s v="5677 Strong St."/>
    <s v="N/A"/>
    <s v="San Rafael"/>
    <s v="CA"/>
    <n v="97562"/>
    <x v="0"/>
    <s v="NA"/>
    <s v="Nelson"/>
    <s v="Valarie"/>
    <s v="Medium"/>
  </r>
  <r>
    <n v="10259"/>
    <n v="26"/>
    <n v="100"/>
    <n v="12"/>
    <n v="4033.38"/>
    <x v="39"/>
    <x v="9"/>
    <s v="Shipped"/>
    <n v="2"/>
    <n v="6"/>
    <n v="2004"/>
    <x v="1"/>
    <n v="147"/>
    <s v="S10_4962"/>
    <s v="Handji Gifts&amp; Co"/>
    <s v="+65 224 1555"/>
    <s v="Village Close - 106 Linden Road Sandown"/>
    <s v="2nd Floor"/>
    <s v="Singapore"/>
    <s v="N/A"/>
    <n v="69045"/>
    <x v="9"/>
    <s v="APAC"/>
    <s v="Victorino"/>
    <s v="Wendy"/>
    <s v="Medium"/>
  </r>
  <r>
    <n v="10281"/>
    <n v="44"/>
    <n v="100"/>
    <n v="9"/>
    <n v="7020.64"/>
    <x v="94"/>
    <x v="3"/>
    <s v="Shipped"/>
    <n v="3"/>
    <n v="8"/>
    <n v="2004"/>
    <x v="1"/>
    <n v="147"/>
    <s v="S10_4962"/>
    <s v="Diecast Classics Inc."/>
    <n v="2155551555"/>
    <s v="7586 Pompton St."/>
    <s v="N/A"/>
    <s v="Allentown"/>
    <s v="PA"/>
    <n v="70267"/>
    <x v="0"/>
    <s v="NA"/>
    <s v="Yu"/>
    <s v="Kyung"/>
    <s v="Large"/>
  </r>
  <r>
    <n v="10305"/>
    <n v="38"/>
    <n v="100"/>
    <n v="13"/>
    <n v="6680.78"/>
    <x v="95"/>
    <x v="4"/>
    <s v="Shipped"/>
    <n v="4"/>
    <n v="10"/>
    <n v="2004"/>
    <x v="1"/>
    <n v="147"/>
    <s v="S10_4962"/>
    <s v="Marta's Replicas Co."/>
    <n v="6175558555"/>
    <s v="39323 Spinnaker Dr."/>
    <s v="N/A"/>
    <s v="Cambridge"/>
    <s v="MA"/>
    <n v="51247"/>
    <x v="0"/>
    <s v="NA"/>
    <s v="Hernandez"/>
    <s v="Marta"/>
    <s v="Medium"/>
  </r>
  <r>
    <n v="10313"/>
    <n v="40"/>
    <n v="100"/>
    <n v="7"/>
    <n v="6678"/>
    <x v="96"/>
    <x v="4"/>
    <s v="Shipped"/>
    <n v="4"/>
    <n v="10"/>
    <n v="2004"/>
    <x v="1"/>
    <n v="147"/>
    <s v="S10_4962"/>
    <s v="Canadian Gift Exchange Network"/>
    <s v="(604) 555-3392"/>
    <s v="1900 Oak St."/>
    <s v="N/A"/>
    <s v="Vancouver"/>
    <s v="BC"/>
    <s v="V3F 2K1"/>
    <x v="10"/>
    <s v="NA"/>
    <s v="Tannamuri"/>
    <s v="Yoshi"/>
    <s v="Medium"/>
  </r>
  <r>
    <n v="10334"/>
    <n v="26"/>
    <n v="100"/>
    <n v="2"/>
    <n v="3188.12"/>
    <x v="97"/>
    <x v="5"/>
    <s v="On Hold"/>
    <n v="4"/>
    <n v="11"/>
    <n v="2004"/>
    <x v="1"/>
    <n v="147"/>
    <s v="S10_4962"/>
    <s v="Volvo Model Replicas, Co"/>
    <s v="0921-12 3555"/>
    <s v="Berguvsv„gen  8"/>
    <s v="N/A"/>
    <s v="Lule"/>
    <s v="N/A"/>
    <s v="S-958 22"/>
    <x v="8"/>
    <s v="EMEA"/>
    <s v="Berglund"/>
    <s v="Christina"/>
    <s v="Medium"/>
  </r>
  <r>
    <n v="10370"/>
    <n v="35"/>
    <n v="65.63"/>
    <n v="4"/>
    <n v="2297.0500000000002"/>
    <x v="49"/>
    <x v="7"/>
    <s v="Shipped"/>
    <n v="1"/>
    <n v="1"/>
    <n v="2005"/>
    <x v="1"/>
    <n v="147"/>
    <s v="S10_4962"/>
    <s v="Anna's Decorations, Ltd"/>
    <s v="02 9936 8555"/>
    <s v="201 Miller Street"/>
    <s v="Level 15"/>
    <s v="North Sydney"/>
    <s v="NSW"/>
    <n v="2060"/>
    <x v="3"/>
    <s v="APAC"/>
    <s v="O'Hara"/>
    <s v="Anna"/>
    <s v="Small"/>
  </r>
  <r>
    <n v="10425"/>
    <n v="38"/>
    <n v="100"/>
    <n v="12"/>
    <n v="5894.94"/>
    <x v="53"/>
    <x v="1"/>
    <s v="In Process"/>
    <n v="2"/>
    <n v="5"/>
    <n v="2005"/>
    <x v="1"/>
    <n v="147"/>
    <s v="S10_4962"/>
    <s v="La Rochelle Gifts"/>
    <s v="40.67.8555"/>
    <s v="67, rue des Cinquante Otages"/>
    <s v="N/A"/>
    <s v="Nantes"/>
    <s v="N/A"/>
    <n v="44000"/>
    <x v="1"/>
    <s v="EMEA"/>
    <s v="Labrune"/>
    <s v="Janine"/>
    <s v="Medium"/>
  </r>
  <r>
    <n v="10108"/>
    <n v="33"/>
    <n v="100"/>
    <n v="6"/>
    <n v="5265.15"/>
    <x v="98"/>
    <x v="11"/>
    <s v="Shipped"/>
    <n v="1"/>
    <n v="3"/>
    <n v="2003"/>
    <x v="1"/>
    <n v="194"/>
    <s v="S12_1099"/>
    <s v="Cruz &amp; Sons Co."/>
    <s v="+63 2 555 3587"/>
    <s v="15 McCallum Street - NatWest Center #13-03"/>
    <s v="N/A"/>
    <s v="Makati City"/>
    <s v="N/A"/>
    <s v="1227 MM"/>
    <x v="15"/>
    <s v="Japan"/>
    <s v="Cruz"/>
    <s v="Arnold"/>
    <s v="Medium"/>
  </r>
  <r>
    <n v="10122"/>
    <n v="42"/>
    <n v="100"/>
    <n v="10"/>
    <n v="7599.9"/>
    <x v="99"/>
    <x v="1"/>
    <s v="Shipped"/>
    <n v="2"/>
    <n v="5"/>
    <n v="2003"/>
    <x v="1"/>
    <n v="194"/>
    <s v="S12_1099"/>
    <s v="Marseille Mini Autos"/>
    <s v="91.24.4555"/>
    <s v="12, rue des Bouchers"/>
    <s v="N/A"/>
    <s v="Marseille"/>
    <s v="N/A"/>
    <n v="13008"/>
    <x v="1"/>
    <s v="EMEA"/>
    <s v="Lebihan"/>
    <s v="Laurence"/>
    <s v="Large"/>
  </r>
  <r>
    <n v="10135"/>
    <n v="42"/>
    <n v="100"/>
    <n v="7"/>
    <n v="8008.56"/>
    <x v="100"/>
    <x v="2"/>
    <s v="Shipped"/>
    <n v="3"/>
    <n v="7"/>
    <n v="2003"/>
    <x v="1"/>
    <n v="194"/>
    <s v="S12_1099"/>
    <s v="Mini Gifts Distributors Ltd."/>
    <n v="4155551450"/>
    <s v="5677 Strong St."/>
    <s v="N/A"/>
    <s v="San Rafael"/>
    <s v="CA"/>
    <n v="97562"/>
    <x v="0"/>
    <s v="NA"/>
    <s v="Nelson"/>
    <s v="Valarie"/>
    <s v="Large"/>
  </r>
  <r>
    <n v="10147"/>
    <n v="48"/>
    <n v="100"/>
    <n v="7"/>
    <n v="9245.76"/>
    <x v="101"/>
    <x v="10"/>
    <s v="Shipped"/>
    <n v="3"/>
    <n v="9"/>
    <n v="2003"/>
    <x v="1"/>
    <n v="194"/>
    <s v="S12_1099"/>
    <s v="Collectables For Less Inc."/>
    <n v="6175558555"/>
    <s v="7825 Douglas Av."/>
    <s v="N/A"/>
    <s v="Brickhaven"/>
    <s v="MA"/>
    <n v="58339"/>
    <x v="0"/>
    <s v="NA"/>
    <s v="Nelson"/>
    <s v="Allen"/>
    <s v="Large"/>
  </r>
  <r>
    <n v="10169"/>
    <n v="30"/>
    <n v="100"/>
    <n v="2"/>
    <n v="5019.8999999999996"/>
    <x v="102"/>
    <x v="5"/>
    <s v="Shipped"/>
    <n v="4"/>
    <n v="11"/>
    <n v="2003"/>
    <x v="1"/>
    <n v="194"/>
    <s v="S12_1099"/>
    <s v="Anna's Decorations, Ltd"/>
    <s v="02 9936 8555"/>
    <s v="201 Miller Street"/>
    <s v="Level 15"/>
    <s v="North Sydney"/>
    <s v="NSW"/>
    <n v="2060"/>
    <x v="3"/>
    <s v="APAC"/>
    <s v="O'Hara"/>
    <s v="Anna"/>
    <s v="Medium"/>
  </r>
  <r>
    <n v="10181"/>
    <n v="27"/>
    <n v="100"/>
    <n v="14"/>
    <n v="5411.07"/>
    <x v="103"/>
    <x v="5"/>
    <s v="Shipped"/>
    <n v="4"/>
    <n v="11"/>
    <n v="2003"/>
    <x v="1"/>
    <n v="194"/>
    <s v="S12_1099"/>
    <s v="Herkku Gifts"/>
    <s v="+47 2267 3215"/>
    <s v="Drammen 121, PR 744 Sentrum"/>
    <s v="N/A"/>
    <s v="Bergen"/>
    <s v="N/A"/>
    <s v="N 5804"/>
    <x v="2"/>
    <s v="EMEA"/>
    <s v="Oeztan"/>
    <s v="Veysel"/>
    <s v="Medium"/>
  </r>
  <r>
    <n v="10191"/>
    <n v="21"/>
    <n v="100"/>
    <n v="3"/>
    <n v="3840.9"/>
    <x v="104"/>
    <x v="5"/>
    <s v="Shipped"/>
    <n v="4"/>
    <n v="11"/>
    <n v="2003"/>
    <x v="1"/>
    <n v="194"/>
    <s v="S12_1099"/>
    <s v="Toms Spezialitten, Ltd"/>
    <s v="0221-5554327"/>
    <s v="Mehrheimerstr. 369"/>
    <s v="N/A"/>
    <s v="Koln"/>
    <s v="N/A"/>
    <n v="50739"/>
    <x v="16"/>
    <s v="EMEA"/>
    <s v="Pfalzheim"/>
    <s v="Henriette"/>
    <s v="Medium"/>
  </r>
  <r>
    <n v="10203"/>
    <n v="20"/>
    <n v="100"/>
    <n v="8"/>
    <n v="3930.4"/>
    <x v="105"/>
    <x v="6"/>
    <s v="Shipped"/>
    <n v="4"/>
    <n v="12"/>
    <n v="2003"/>
    <x v="1"/>
    <n v="194"/>
    <s v="S12_1099"/>
    <s v="Euro Shopping Channel"/>
    <s v="(91) 555 94 44"/>
    <s v="C/ Moralzarzal, 86"/>
    <s v="N/A"/>
    <s v="Madrid"/>
    <s v="N/A"/>
    <n v="28034"/>
    <x v="7"/>
    <s v="EMEA"/>
    <s v="Freyre"/>
    <s v="Diego"/>
    <s v="Medium"/>
  </r>
  <r>
    <n v="10225"/>
    <n v="27"/>
    <n v="100"/>
    <n v="9"/>
    <n v="4517.91"/>
    <x v="106"/>
    <x v="0"/>
    <s v="Shipped"/>
    <n v="1"/>
    <n v="2"/>
    <n v="2004"/>
    <x v="1"/>
    <n v="194"/>
    <s v="S12_1099"/>
    <s v="Vida Sport, Ltd"/>
    <s v="0897-034555"/>
    <s v="Grenzacherweg 237"/>
    <s v="N/A"/>
    <s v="Gensve"/>
    <s v="N/A"/>
    <n v="1203"/>
    <x v="17"/>
    <s v="EMEA"/>
    <s v="Holz"/>
    <s v="Michael"/>
    <s v="Medium"/>
  </r>
  <r>
    <n v="10238"/>
    <n v="28"/>
    <n v="100"/>
    <n v="3"/>
    <n v="5774.72"/>
    <x v="107"/>
    <x v="8"/>
    <s v="Shipped"/>
    <n v="2"/>
    <n v="4"/>
    <n v="2004"/>
    <x v="1"/>
    <n v="194"/>
    <s v="S12_1099"/>
    <s v="Danish Wholesale Imports"/>
    <s v="31 12 3555"/>
    <s v="Vinb'ltet 34"/>
    <s v="N/A"/>
    <s v="Kobenhavn"/>
    <s v="N/A"/>
    <n v="1734"/>
    <x v="13"/>
    <s v="EMEA"/>
    <s v="Petersen"/>
    <s v="Jytte"/>
    <s v="Medium"/>
  </r>
  <r>
    <n v="10253"/>
    <n v="24"/>
    <n v="100"/>
    <n v="13"/>
    <n v="3922.56"/>
    <x v="108"/>
    <x v="9"/>
    <s v="Cancelled"/>
    <n v="2"/>
    <n v="6"/>
    <n v="2004"/>
    <x v="1"/>
    <n v="194"/>
    <s v="S12_1099"/>
    <s v="UK Collectables, Ltd."/>
    <s v="(171) 555-2282"/>
    <s v="Berkeley Gardens 12  Brewery"/>
    <s v="N/A"/>
    <s v="Liverpool"/>
    <s v="N/A"/>
    <s v="WX1 6LT"/>
    <x v="6"/>
    <s v="EMEA"/>
    <s v="Devon"/>
    <s v="Elizabeth"/>
    <s v="Medium"/>
  </r>
  <r>
    <n v="10266"/>
    <n v="44"/>
    <n v="100"/>
    <n v="14"/>
    <n v="9160.36"/>
    <x v="109"/>
    <x v="2"/>
    <s v="Shipped"/>
    <n v="3"/>
    <n v="7"/>
    <n v="2004"/>
    <x v="1"/>
    <n v="194"/>
    <s v="S12_1099"/>
    <s v="L'ordine Souveniers"/>
    <s v="0522-556555"/>
    <s v="Strada Provinciale 124"/>
    <s v="N/A"/>
    <s v="Reggio Emilia"/>
    <s v="N/A"/>
    <n v="42100"/>
    <x v="12"/>
    <s v="EMEA"/>
    <s v="Moroni"/>
    <s v="Maurizio"/>
    <s v="Large"/>
  </r>
  <r>
    <n v="10276"/>
    <n v="50"/>
    <n v="100"/>
    <n v="3"/>
    <n v="9631"/>
    <x v="110"/>
    <x v="3"/>
    <s v="Shipped"/>
    <n v="3"/>
    <n v="8"/>
    <n v="2004"/>
    <x v="1"/>
    <n v="194"/>
    <s v="S12_1099"/>
    <s v="Online Mini Collectables"/>
    <n v="6175557555"/>
    <s v="7635 Spinnaker Dr."/>
    <s v="N/A"/>
    <s v="Brickhaven"/>
    <s v="MA"/>
    <n v="58339"/>
    <x v="0"/>
    <s v="NA"/>
    <s v="Barajas"/>
    <s v="Miguel"/>
    <s v="Large"/>
  </r>
  <r>
    <n v="10287"/>
    <n v="21"/>
    <n v="100"/>
    <n v="12"/>
    <n v="3432.24"/>
    <x v="111"/>
    <x v="3"/>
    <s v="Shipped"/>
    <n v="3"/>
    <n v="8"/>
    <n v="2004"/>
    <x v="1"/>
    <n v="194"/>
    <s v="S12_1099"/>
    <s v="Vida Sport, Ltd"/>
    <s v="0897-034555"/>
    <s v="Grenzacherweg 237"/>
    <s v="N/A"/>
    <s v="Gensve"/>
    <s v="N/A"/>
    <n v="1203"/>
    <x v="17"/>
    <s v="EMEA"/>
    <s v="Holz"/>
    <s v="Michael"/>
    <s v="Medium"/>
  </r>
  <r>
    <n v="10300"/>
    <n v="33"/>
    <n v="100"/>
    <n v="5"/>
    <n v="5521.89"/>
    <x v="112"/>
    <x v="4"/>
    <s v="Shipped"/>
    <n v="4"/>
    <n v="10"/>
    <n v="2003"/>
    <x v="1"/>
    <n v="194"/>
    <s v="S12_1099"/>
    <s v="Blauer See Auto, Co."/>
    <s v="+49 69 66 90 2555"/>
    <s v="Lyonerstr. 34"/>
    <s v="N/A"/>
    <s v="Frankfurt"/>
    <s v="N/A"/>
    <n v="60528"/>
    <x v="16"/>
    <s v="EMEA"/>
    <s v="Keitel"/>
    <s v="Roland"/>
    <s v="Medium"/>
  </r>
  <r>
    <n v="10310"/>
    <n v="33"/>
    <n v="100"/>
    <n v="10"/>
    <n v="6934.62"/>
    <x v="113"/>
    <x v="4"/>
    <s v="Shipped"/>
    <n v="4"/>
    <n v="10"/>
    <n v="2004"/>
    <x v="1"/>
    <n v="194"/>
    <s v="S12_1099"/>
    <s v="Toms Spezialitten, Ltd"/>
    <s v="0221-5554327"/>
    <s v="Mehrheimerstr. 369"/>
    <s v="N/A"/>
    <s v="Koln"/>
    <s v="N/A"/>
    <n v="50739"/>
    <x v="16"/>
    <s v="EMEA"/>
    <s v="Pfalzheim"/>
    <s v="Henriette"/>
    <s v="Medium"/>
  </r>
  <r>
    <n v="10320"/>
    <n v="31"/>
    <n v="100"/>
    <n v="3"/>
    <n v="6876.11"/>
    <x v="114"/>
    <x v="5"/>
    <s v="Shipped"/>
    <n v="4"/>
    <n v="11"/>
    <n v="2004"/>
    <x v="1"/>
    <n v="194"/>
    <s v="S12_1099"/>
    <s v="Volvo Model Replicas, Co"/>
    <s v="0921-12 3555"/>
    <s v="Berguvsv„gen  8"/>
    <s v="N/A"/>
    <s v="Lule"/>
    <s v="N/A"/>
    <s v="S-958 22"/>
    <x v="8"/>
    <s v="EMEA"/>
    <s v="Berglund"/>
    <s v="Christina"/>
    <s v="Medium"/>
  </r>
  <r>
    <n v="10363"/>
    <n v="33"/>
    <n v="85.39"/>
    <n v="3"/>
    <n v="2817.87"/>
    <x v="115"/>
    <x v="7"/>
    <s v="Shipped"/>
    <n v="1"/>
    <n v="1"/>
    <n v="2005"/>
    <x v="1"/>
    <n v="194"/>
    <s v="S12_1099"/>
    <s v="Suominen Souveniers"/>
    <s v="+358 9 8045 555"/>
    <s v="Software Engineering Center, SEC Oy"/>
    <s v="N/A"/>
    <s v="Espoo"/>
    <s v="N/A"/>
    <s v="FIN-02271"/>
    <x v="4"/>
    <s v="EMEA"/>
    <s v="Suominen"/>
    <s v="Kalle"/>
    <s v="Small"/>
  </r>
  <r>
    <n v="10389"/>
    <n v="26"/>
    <n v="99.04"/>
    <n v="4"/>
    <n v="2575.04"/>
    <x v="23"/>
    <x v="11"/>
    <s v="Shipped"/>
    <n v="1"/>
    <n v="3"/>
    <n v="2005"/>
    <x v="1"/>
    <n v="194"/>
    <s v="S12_1099"/>
    <s v="Scandinavian Gift Ideas"/>
    <s v="0695-34 6555"/>
    <s v="?kergatan 24"/>
    <s v="N/A"/>
    <s v="Boras"/>
    <s v="N/A"/>
    <s v="S-844 67"/>
    <x v="8"/>
    <s v="EMEA"/>
    <s v="Larsson"/>
    <s v="Maria"/>
    <s v="Small"/>
  </r>
  <r>
    <n v="10419"/>
    <n v="12"/>
    <n v="100"/>
    <n v="13"/>
    <n v="1961.28"/>
    <x v="116"/>
    <x v="1"/>
    <s v="Shipped"/>
    <n v="2"/>
    <n v="5"/>
    <n v="2005"/>
    <x v="1"/>
    <n v="194"/>
    <s v="S12_1099"/>
    <s v="Salzburg Collectables"/>
    <s v="6562-9555"/>
    <s v="Geislweg 14"/>
    <s v="N/A"/>
    <s v="Salzburg"/>
    <s v="N/A"/>
    <n v="5020"/>
    <x v="5"/>
    <s v="EMEA"/>
    <s v="Pipps"/>
    <s v="Georg"/>
    <s v="Small"/>
  </r>
  <r>
    <n v="10117"/>
    <n v="33"/>
    <n v="100"/>
    <n v="9"/>
    <n v="6034.38"/>
    <x v="117"/>
    <x v="8"/>
    <s v="Shipped"/>
    <n v="2"/>
    <n v="4"/>
    <n v="2003"/>
    <x v="1"/>
    <n v="207"/>
    <s v="S12_1108"/>
    <s v="Dragon Souveniers, Ltd."/>
    <s v="+65 221 7555"/>
    <s v="Bronz Sok., Bronz Apt. 3/6 Tesvikiye"/>
    <s v="N/A"/>
    <s v="Singapore"/>
    <s v="N/A"/>
    <n v="79903"/>
    <x v="9"/>
    <s v="Japan"/>
    <s v="Natividad"/>
    <s v="Eric"/>
    <s v="Medium"/>
  </r>
  <r>
    <n v="10127"/>
    <n v="46"/>
    <n v="100"/>
    <n v="2"/>
    <n v="11279.2"/>
    <x v="118"/>
    <x v="9"/>
    <s v="Shipped"/>
    <n v="2"/>
    <n v="6"/>
    <n v="2003"/>
    <x v="1"/>
    <n v="207"/>
    <s v="S12_1108"/>
    <s v="Muscle Machine Inc"/>
    <n v="2125557413"/>
    <s v="4092 Furth Circle"/>
    <s v="Suite 400"/>
    <s v="NYC"/>
    <s v="NY"/>
    <n v="10022"/>
    <x v="0"/>
    <s v="NA"/>
    <s v="Young"/>
    <s v="Jeff"/>
    <s v="Large"/>
  </r>
  <r>
    <n v="10142"/>
    <n v="33"/>
    <n v="100"/>
    <n v="12"/>
    <n v="8023.29"/>
    <x v="119"/>
    <x v="3"/>
    <s v="Shipped"/>
    <n v="3"/>
    <n v="8"/>
    <n v="2003"/>
    <x v="1"/>
    <n v="207"/>
    <s v="S12_1108"/>
    <s v="Mini Gifts Distributors Ltd."/>
    <n v="4155551450"/>
    <s v="5677 Strong St."/>
    <s v="N/A"/>
    <s v="San Rafael"/>
    <s v="CA"/>
    <n v="97562"/>
    <x v="0"/>
    <s v="NA"/>
    <s v="Nelson"/>
    <s v="Valarie"/>
    <s v="Large"/>
  </r>
  <r>
    <n v="10153"/>
    <n v="20"/>
    <n v="100"/>
    <n v="11"/>
    <n v="4904"/>
    <x v="120"/>
    <x v="10"/>
    <s v="Shipped"/>
    <n v="3"/>
    <n v="9"/>
    <n v="2003"/>
    <x v="1"/>
    <n v="207"/>
    <s v="S12_1108"/>
    <s v="Euro Shopping Channel"/>
    <s v="(91) 555 94 44"/>
    <s v="C/ Moralzarzal, 86"/>
    <s v="N/A"/>
    <s v="Madrid"/>
    <s v="N/A"/>
    <n v="28034"/>
    <x v="7"/>
    <s v="EMEA"/>
    <s v="Freyre"/>
    <s v="Diego"/>
    <s v="Medium"/>
  </r>
  <r>
    <n v="10165"/>
    <n v="44"/>
    <n v="100"/>
    <n v="3"/>
    <n v="8594.52"/>
    <x v="121"/>
    <x v="4"/>
    <s v="Shipped"/>
    <n v="4"/>
    <n v="10"/>
    <n v="2003"/>
    <x v="1"/>
    <n v="207"/>
    <s v="S12_1108"/>
    <s v="Dragon Souveniers, Ltd."/>
    <s v="+65 221 7555"/>
    <s v="Bronz Sok., Bronz Apt. 3/6 Tesvikiye"/>
    <s v="N/A"/>
    <s v="Singapore"/>
    <s v="N/A"/>
    <n v="79903"/>
    <x v="9"/>
    <s v="Japan"/>
    <s v="Natividad"/>
    <s v="Eric"/>
    <s v="Large"/>
  </r>
  <r>
    <n v="10176"/>
    <n v="33"/>
    <n v="100"/>
    <n v="2"/>
    <n v="7474.5"/>
    <x v="32"/>
    <x v="5"/>
    <s v="Shipped"/>
    <n v="4"/>
    <n v="11"/>
    <n v="2003"/>
    <x v="1"/>
    <n v="207"/>
    <s v="S12_1108"/>
    <s v="L'ordine Souveniers"/>
    <s v="0522-556555"/>
    <s v="Strada Provinciale 124"/>
    <s v="N/A"/>
    <s v="Reggio Emilia"/>
    <s v="N/A"/>
    <n v="42100"/>
    <x v="12"/>
    <s v="EMEA"/>
    <s v="Moroni"/>
    <s v="Maurizio"/>
    <s v="Large"/>
  </r>
  <r>
    <n v="10185"/>
    <n v="21"/>
    <n v="100"/>
    <n v="13"/>
    <n v="3883.74"/>
    <x v="69"/>
    <x v="5"/>
    <s v="Shipped"/>
    <n v="4"/>
    <n v="11"/>
    <n v="2003"/>
    <x v="1"/>
    <n v="207"/>
    <s v="S12_1108"/>
    <s v="Mini Creations Ltd."/>
    <n v="5085559555"/>
    <s v="4575 Hillside Dr."/>
    <s v="N/A"/>
    <s v="New Bedford"/>
    <s v="MA"/>
    <n v="50553"/>
    <x v="0"/>
    <s v="NA"/>
    <s v="Tam"/>
    <s v="Wing C"/>
    <s v="Medium"/>
  </r>
  <r>
    <n v="10196"/>
    <n v="47"/>
    <n v="100"/>
    <n v="5"/>
    <n v="8887.7000000000007"/>
    <x v="70"/>
    <x v="5"/>
    <s v="Shipped"/>
    <n v="4"/>
    <n v="11"/>
    <n v="2003"/>
    <x v="1"/>
    <n v="207"/>
    <s v="S12_1108"/>
    <s v="Super Scale Inc."/>
    <n v="2035559545"/>
    <s v="567 North Pendale Street"/>
    <s v="N/A"/>
    <s v="New Haven"/>
    <s v="CT"/>
    <n v="97823"/>
    <x v="0"/>
    <s v="NA"/>
    <s v="Murphy"/>
    <s v="Leslie"/>
    <s v="Large"/>
  </r>
  <r>
    <n v="10208"/>
    <n v="46"/>
    <n v="100"/>
    <n v="13"/>
    <n v="8602.92"/>
    <x v="122"/>
    <x v="7"/>
    <s v="Shipped"/>
    <n v="1"/>
    <n v="1"/>
    <n v="2004"/>
    <x v="1"/>
    <n v="207"/>
    <s v="S12_1108"/>
    <s v="Saveley &amp; Henriot, Co."/>
    <s v="78.32.5555"/>
    <s v="2, rue du Commerce"/>
    <s v="N/A"/>
    <s v="Lyon"/>
    <s v="N/A"/>
    <n v="69004"/>
    <x v="1"/>
    <s v="EMEA"/>
    <s v="Saveley"/>
    <s v="Mary"/>
    <s v="Large"/>
  </r>
  <r>
    <n v="10220"/>
    <n v="32"/>
    <n v="100"/>
    <n v="2"/>
    <n v="7181.44"/>
    <x v="123"/>
    <x v="0"/>
    <s v="Shipped"/>
    <n v="1"/>
    <n v="2"/>
    <n v="2004"/>
    <x v="1"/>
    <n v="207"/>
    <s v="S12_1108"/>
    <s v="Clover Collections, Co."/>
    <s v="+353 1862 1555"/>
    <s v="25 Maiden Lane"/>
    <s v="Floor No. 4"/>
    <s v="Dublin"/>
    <s v="N/A"/>
    <n v="2"/>
    <x v="18"/>
    <s v="EMEA"/>
    <s v="Cassidy"/>
    <s v="Dean"/>
    <s v="Large"/>
  </r>
  <r>
    <n v="10231"/>
    <n v="42"/>
    <n v="100"/>
    <n v="2"/>
    <n v="8378.58"/>
    <x v="124"/>
    <x v="11"/>
    <s v="Shipped"/>
    <n v="1"/>
    <n v="3"/>
    <n v="2004"/>
    <x v="1"/>
    <n v="207"/>
    <s v="S12_1108"/>
    <s v="CAF Imports"/>
    <s v="+34 913 728 555"/>
    <s v="Merchants House, 27-30 Merchant's Quay"/>
    <s v="N/A"/>
    <s v="Madrid"/>
    <s v="N/A"/>
    <n v="28023"/>
    <x v="7"/>
    <s v="EMEA"/>
    <s v="Fernandez"/>
    <s v="Jesus"/>
    <s v="Large"/>
  </r>
  <r>
    <n v="10247"/>
    <n v="44"/>
    <n v="100"/>
    <n v="2"/>
    <n v="10606.2"/>
    <x v="125"/>
    <x v="1"/>
    <s v="Shipped"/>
    <n v="2"/>
    <n v="5"/>
    <n v="2004"/>
    <x v="1"/>
    <n v="207"/>
    <s v="S12_1108"/>
    <s v="Suominen Souveniers"/>
    <s v="+358 9 8045 555"/>
    <s v="Software Engineering Center, SEC Oy"/>
    <s v="N/A"/>
    <s v="Espoo"/>
    <s v="N/A"/>
    <s v="FIN-02271"/>
    <x v="4"/>
    <s v="EMEA"/>
    <s v="Suominen"/>
    <s v="Kalle"/>
    <s v="Large"/>
  </r>
  <r>
    <n v="10272"/>
    <n v="35"/>
    <n v="100"/>
    <n v="2"/>
    <n v="5818.4"/>
    <x v="126"/>
    <x v="2"/>
    <s v="Shipped"/>
    <n v="3"/>
    <n v="7"/>
    <n v="2004"/>
    <x v="1"/>
    <n v="207"/>
    <s v="S12_1108"/>
    <s v="Diecast Classics Inc."/>
    <n v="2155551555"/>
    <s v="7586 Pompton St."/>
    <s v="N/A"/>
    <s v="Allentown"/>
    <s v="PA"/>
    <n v="70267"/>
    <x v="0"/>
    <s v="NA"/>
    <s v="Yu"/>
    <s v="Kyung"/>
    <s v="Medium"/>
  </r>
  <r>
    <n v="10282"/>
    <n v="41"/>
    <n v="100"/>
    <n v="5"/>
    <n v="7071.27"/>
    <x v="76"/>
    <x v="3"/>
    <s v="Shipped"/>
    <n v="3"/>
    <n v="8"/>
    <n v="2004"/>
    <x v="1"/>
    <n v="207"/>
    <s v="S12_1108"/>
    <s v="Mini Gifts Distributors Ltd."/>
    <n v="4155551450"/>
    <s v="5677 Strong St."/>
    <s v="N/A"/>
    <s v="San Rafael"/>
    <s v="CA"/>
    <n v="97562"/>
    <x v="0"/>
    <s v="NA"/>
    <s v="Nelson"/>
    <s v="Valarie"/>
    <s v="Large"/>
  </r>
  <r>
    <n v="10293"/>
    <n v="46"/>
    <n v="100"/>
    <n v="8"/>
    <n v="8411.56"/>
    <x v="127"/>
    <x v="10"/>
    <s v="Shipped"/>
    <n v="3"/>
    <n v="9"/>
    <n v="2004"/>
    <x v="1"/>
    <n v="207"/>
    <s v="S12_1108"/>
    <s v="Amica Models &amp; Co."/>
    <s v="011-4988555"/>
    <s v="Via Monte Bianco 34"/>
    <s v="N/A"/>
    <s v="Torino"/>
    <s v="N/A"/>
    <n v="10100"/>
    <x v="12"/>
    <s v="EMEA"/>
    <s v="Accorti"/>
    <s v="Paolo"/>
    <s v="Large"/>
  </r>
  <r>
    <n v="10306"/>
    <n v="31"/>
    <n v="100"/>
    <n v="13"/>
    <n v="6570.76"/>
    <x v="78"/>
    <x v="4"/>
    <s v="Shipped"/>
    <n v="4"/>
    <n v="10"/>
    <n v="2004"/>
    <x v="1"/>
    <n v="207"/>
    <s v="S12_1108"/>
    <s v="AV Stores, Co."/>
    <s v="(171) 555-1555"/>
    <s v="Fauntleroy Circus"/>
    <s v="N/A"/>
    <s v="Manchester"/>
    <s v="N/A"/>
    <s v="EC2 5NT"/>
    <x v="6"/>
    <s v="EMEA"/>
    <s v="Ashworth"/>
    <s v="Victoria"/>
    <s v="Medium"/>
  </r>
  <r>
    <n v="10314"/>
    <n v="38"/>
    <n v="100"/>
    <n v="5"/>
    <n v="7975.44"/>
    <x v="96"/>
    <x v="4"/>
    <s v="Shipped"/>
    <n v="4"/>
    <n v="10"/>
    <n v="2004"/>
    <x v="1"/>
    <n v="207"/>
    <s v="S12_1108"/>
    <s v="Heintze Collectables"/>
    <s v="86 21 3555"/>
    <s v="Smagsloget 45"/>
    <s v="N/A"/>
    <s v="Aaarhus"/>
    <s v="N/A"/>
    <n v="8200"/>
    <x v="13"/>
    <s v="EMEA"/>
    <s v="Ibsen"/>
    <s v="Palle"/>
    <s v="Large"/>
  </r>
  <r>
    <n v="10336"/>
    <n v="33"/>
    <n v="57.22"/>
    <n v="10"/>
    <n v="1888.26"/>
    <x v="128"/>
    <x v="5"/>
    <s v="Shipped"/>
    <n v="4"/>
    <n v="11"/>
    <n v="2004"/>
    <x v="1"/>
    <n v="207"/>
    <s v="S12_1108"/>
    <s v="La Corne D'abondance, Co."/>
    <s v="(1) 42.34.2555"/>
    <s v="265, boulevard Charonne"/>
    <s v="N/A"/>
    <s v="Paris"/>
    <s v="N/A"/>
    <n v="75012"/>
    <x v="1"/>
    <s v="EMEA"/>
    <s v="Bertrand"/>
    <s v="Marie"/>
    <s v="Small"/>
  </r>
  <r>
    <n v="10348"/>
    <n v="48"/>
    <n v="52.36"/>
    <n v="8"/>
    <n v="2513.2800000000002"/>
    <x v="79"/>
    <x v="5"/>
    <s v="Shipped"/>
    <n v="4"/>
    <n v="11"/>
    <n v="2004"/>
    <x v="1"/>
    <n v="207"/>
    <s v="S12_1108"/>
    <s v="Corrida Auto Replicas, Ltd"/>
    <s v="(91) 555 22 82"/>
    <s v="C/ Araquil, 67"/>
    <s v="N/A"/>
    <s v="Madrid"/>
    <s v="N/A"/>
    <n v="28023"/>
    <x v="7"/>
    <s v="EMEA"/>
    <s v="Sommer"/>
    <s v="Mart¡n"/>
    <s v="Small"/>
  </r>
  <r>
    <n v="10371"/>
    <n v="32"/>
    <n v="100"/>
    <n v="6"/>
    <n v="3560.64"/>
    <x v="129"/>
    <x v="7"/>
    <s v="Shipped"/>
    <n v="1"/>
    <n v="1"/>
    <n v="2005"/>
    <x v="1"/>
    <n v="207"/>
    <s v="S12_1108"/>
    <s v="Mini Gifts Distributors Ltd."/>
    <n v="4155551450"/>
    <s v="5677 Strong St."/>
    <s v="N/A"/>
    <s v="San Rafael"/>
    <s v="CA"/>
    <n v="97562"/>
    <x v="0"/>
    <s v="NA"/>
    <s v="Nelson"/>
    <s v="Valarie"/>
    <s v="Medium"/>
  </r>
  <r>
    <n v="10382"/>
    <n v="34"/>
    <n v="100"/>
    <n v="10"/>
    <n v="3823.64"/>
    <x v="50"/>
    <x v="0"/>
    <s v="Shipped"/>
    <n v="1"/>
    <n v="2"/>
    <n v="2005"/>
    <x v="1"/>
    <n v="207"/>
    <s v="S12_1108"/>
    <s v="Mini Gifts Distributors Ltd."/>
    <n v="4155551450"/>
    <s v="5677 Strong St."/>
    <s v="N/A"/>
    <s v="San Rafael"/>
    <s v="CA"/>
    <n v="97562"/>
    <x v="0"/>
    <s v="NA"/>
    <s v="Nelson"/>
    <s v="Valarie"/>
    <s v="Medium"/>
  </r>
  <r>
    <n v="10413"/>
    <n v="36"/>
    <n v="100"/>
    <n v="2"/>
    <n v="8677.7999999999993"/>
    <x v="130"/>
    <x v="1"/>
    <s v="Shipped"/>
    <n v="2"/>
    <n v="5"/>
    <n v="2005"/>
    <x v="1"/>
    <n v="207"/>
    <s v="S12_1108"/>
    <s v="Gift Depot Inc."/>
    <n v="2035552570"/>
    <s v="25593 South Bay Ln."/>
    <s v="N/A"/>
    <s v="Bridgewater"/>
    <s v="CT"/>
    <n v="97562"/>
    <x v="0"/>
    <s v="NA"/>
    <s v="King"/>
    <s v="Julie"/>
    <s v="Large"/>
  </r>
  <r>
    <n v="10113"/>
    <n v="21"/>
    <n v="100"/>
    <n v="2"/>
    <n v="3415.44"/>
    <x v="131"/>
    <x v="11"/>
    <s v="Shipped"/>
    <n v="1"/>
    <n v="3"/>
    <n v="2003"/>
    <x v="2"/>
    <n v="136"/>
    <s v="S12_1666"/>
    <s v="Mini Gifts Distributors Ltd."/>
    <n v="4155551450"/>
    <s v="5677 Strong St."/>
    <s v="N/A"/>
    <s v="San Rafael"/>
    <s v="CA"/>
    <n v="97562"/>
    <x v="0"/>
    <s v="NA"/>
    <s v="Nelson"/>
    <s v="Valarie"/>
    <s v="Medium"/>
  </r>
  <r>
    <n v="10216"/>
    <n v="43"/>
    <n v="100"/>
    <n v="1"/>
    <n v="5759.42"/>
    <x v="132"/>
    <x v="0"/>
    <s v="Shipped"/>
    <n v="1"/>
    <n v="2"/>
    <n v="2004"/>
    <x v="2"/>
    <n v="136"/>
    <s v="S12_1666"/>
    <s v="Auto Assoc. &amp; Cie."/>
    <s v="30.59.8555"/>
    <s v="67, avenue de l'Europe"/>
    <s v="N/A"/>
    <s v="Versailles"/>
    <s v="N/A"/>
    <n v="78000"/>
    <x v="1"/>
    <s v="EMEA"/>
    <s v="Tonini"/>
    <s v="Daniel"/>
    <s v="Medium"/>
  </r>
  <r>
    <n v="10189"/>
    <n v="28"/>
    <n v="100"/>
    <n v="1"/>
    <n v="4512.4799999999996"/>
    <x v="7"/>
    <x v="5"/>
    <s v="Shipped"/>
    <n v="4"/>
    <n v="11"/>
    <n v="2003"/>
    <x v="0"/>
    <n v="150"/>
    <s v="S12_2823"/>
    <s v="Toys4GrownUps.com"/>
    <n v="6265557265"/>
    <s v="78934 Hillside Dr."/>
    <s v="N/A"/>
    <s v="Pasadena"/>
    <s v="CA"/>
    <n v="90003"/>
    <x v="0"/>
    <s v="NA"/>
    <s v="Young"/>
    <s v="Julie"/>
    <s v="Medium"/>
  </r>
  <r>
    <n v="10224"/>
    <n v="43"/>
    <n v="100"/>
    <n v="6"/>
    <n v="6087.94"/>
    <x v="133"/>
    <x v="0"/>
    <s v="Shipped"/>
    <n v="1"/>
    <n v="2"/>
    <n v="2004"/>
    <x v="0"/>
    <n v="150"/>
    <s v="S12_2823"/>
    <s v="Daedalus Designs Imports"/>
    <s v="20.16.1555"/>
    <s v="184, chausse de Tournai"/>
    <s v="N/A"/>
    <s v="Lille"/>
    <s v="N/A"/>
    <n v="59000"/>
    <x v="1"/>
    <s v="EMEA"/>
    <s v="Rance"/>
    <s v="Martine"/>
    <s v="Medium"/>
  </r>
  <r>
    <n v="10319"/>
    <n v="30"/>
    <n v="100"/>
    <n v="9"/>
    <n v="4111.8"/>
    <x v="114"/>
    <x v="5"/>
    <s v="Shipped"/>
    <n v="4"/>
    <n v="11"/>
    <n v="2004"/>
    <x v="0"/>
    <n v="150"/>
    <s v="S12_2823"/>
    <s v="Microscale Inc."/>
    <n v="2125551957"/>
    <s v="5290 North Pendale Street"/>
    <s v="Suite 200"/>
    <s v="NYC"/>
    <s v="NY"/>
    <n v="10022"/>
    <x v="0"/>
    <s v="NA"/>
    <s v="Kuo"/>
    <s v="Kee"/>
    <s v="Medium"/>
  </r>
  <r>
    <n v="10104"/>
    <n v="34"/>
    <n v="100"/>
    <n v="1"/>
    <n v="5958.5"/>
    <x v="134"/>
    <x v="7"/>
    <s v="Shipped"/>
    <n v="1"/>
    <n v="1"/>
    <n v="2003"/>
    <x v="1"/>
    <n v="151"/>
    <s v="S12_3148"/>
    <s v="Euro Shopping Channel"/>
    <s v="(91) 555 94 44"/>
    <s v="C/ Moralzarzal, 86"/>
    <s v="N/A"/>
    <s v="Madrid"/>
    <s v="N/A"/>
    <n v="28034"/>
    <x v="7"/>
    <s v="EMEA"/>
    <s v="Freyre"/>
    <s v="Diego"/>
    <s v="Medium"/>
  </r>
  <r>
    <n v="10230"/>
    <n v="43"/>
    <n v="100"/>
    <n v="1"/>
    <n v="7016.31"/>
    <x v="135"/>
    <x v="11"/>
    <s v="Shipped"/>
    <n v="1"/>
    <n v="3"/>
    <n v="2004"/>
    <x v="1"/>
    <n v="151"/>
    <s v="S12_3148"/>
    <s v="Blauer See Auto, Co."/>
    <s v="+49 69 66 90 2555"/>
    <s v="Lyonerstr. 34"/>
    <s v="N/A"/>
    <s v="Frankfurt"/>
    <s v="N/A"/>
    <n v="60528"/>
    <x v="16"/>
    <s v="EMEA"/>
    <s v="Keitel"/>
    <s v="Roland"/>
    <s v="Large"/>
  </r>
  <r>
    <n v="10324"/>
    <n v="27"/>
    <n v="54.33"/>
    <n v="1"/>
    <n v="1466.91"/>
    <x v="80"/>
    <x v="5"/>
    <s v="Shipped"/>
    <n v="4"/>
    <n v="11"/>
    <n v="2004"/>
    <x v="1"/>
    <n v="151"/>
    <s v="S12_3148"/>
    <s v="Vitachrome Inc."/>
    <n v="2125551500"/>
    <s v="2678 Kingston Rd."/>
    <s v="Suite 101"/>
    <s v="NYC"/>
    <s v="NY"/>
    <n v="10022"/>
    <x v="0"/>
    <s v="NA"/>
    <s v="Frick"/>
    <s v="Michael"/>
    <s v="Small"/>
  </r>
  <r>
    <n v="10358"/>
    <n v="49"/>
    <n v="55.34"/>
    <n v="5"/>
    <n v="2711.66"/>
    <x v="48"/>
    <x v="6"/>
    <s v="Shipped"/>
    <n v="4"/>
    <n v="12"/>
    <n v="2004"/>
    <x v="1"/>
    <n v="151"/>
    <s v="S12_3148"/>
    <s v="Euro Shopping Channel"/>
    <s v="(91) 555 94 44"/>
    <s v="C/ Moralzarzal, 86"/>
    <s v="N/A"/>
    <s v="Madrid"/>
    <s v="N/A"/>
    <n v="28034"/>
    <x v="7"/>
    <s v="EMEA"/>
    <s v="Freyre"/>
    <s v="Diego"/>
    <s v="Small"/>
  </r>
  <r>
    <n v="10372"/>
    <n v="40"/>
    <n v="100"/>
    <n v="4"/>
    <n v="5862"/>
    <x v="136"/>
    <x v="7"/>
    <s v="Shipped"/>
    <n v="1"/>
    <n v="1"/>
    <n v="2005"/>
    <x v="1"/>
    <n v="151"/>
    <s v="S12_3148"/>
    <s v="Tokyo Collectables, Ltd"/>
    <s v="+81 3 3584 0555"/>
    <s v="2-2-8 Roppongi"/>
    <s v="N/A"/>
    <s v="Minato-ku"/>
    <s v="Tokyo"/>
    <s v="106-0032"/>
    <x v="11"/>
    <s v="Japan"/>
    <s v="Shimamura"/>
    <s v="Akiko"/>
    <s v="Medium"/>
  </r>
  <r>
    <n v="10160"/>
    <n v="46"/>
    <n v="100"/>
    <n v="6"/>
    <n v="5294.14"/>
    <x v="137"/>
    <x v="4"/>
    <s v="Shipped"/>
    <n v="4"/>
    <n v="10"/>
    <n v="2003"/>
    <x v="1"/>
    <n v="117"/>
    <s v="S12_3380"/>
    <s v="Men 'R' US Retailers, Ltd."/>
    <n v="2155554369"/>
    <s v="6047 Douglas Av."/>
    <s v="N/A"/>
    <s v="Los Angeles"/>
    <s v="CA"/>
    <s v="N/A"/>
    <x v="0"/>
    <s v="NA"/>
    <s v="Chandler"/>
    <s v="Michael"/>
    <s v="Medium"/>
  </r>
  <r>
    <n v="10170"/>
    <n v="47"/>
    <n v="100"/>
    <n v="4"/>
    <n v="5464.69"/>
    <x v="102"/>
    <x v="5"/>
    <s v="Shipped"/>
    <n v="4"/>
    <n v="11"/>
    <n v="2003"/>
    <x v="1"/>
    <n v="117"/>
    <s v="S12_3380"/>
    <s v="Mini Auto Werke"/>
    <s v="7675-3555"/>
    <s v="Kirchgasse 6"/>
    <s v="N/A"/>
    <s v="Graz"/>
    <s v="N/A"/>
    <n v="8010"/>
    <x v="5"/>
    <s v="EMEA"/>
    <s v="Mendel"/>
    <s v="Roland"/>
    <s v="Medium"/>
  </r>
  <r>
    <n v="10212"/>
    <n v="39"/>
    <n v="100"/>
    <n v="16"/>
    <n v="4946.76"/>
    <x v="138"/>
    <x v="7"/>
    <s v="Shipped"/>
    <n v="1"/>
    <n v="1"/>
    <n v="2004"/>
    <x v="1"/>
    <n v="117"/>
    <s v="S12_3380"/>
    <s v="Euro Shopping Channel"/>
    <s v="(91) 555 94 44"/>
    <s v="C/ Moralzarzal, 86"/>
    <s v="N/A"/>
    <s v="Madrid"/>
    <s v="N/A"/>
    <n v="28034"/>
    <x v="7"/>
    <s v="EMEA"/>
    <s v="Freyre"/>
    <s v="Diego"/>
    <s v="Medium"/>
  </r>
  <r>
    <n v="10376"/>
    <n v="35"/>
    <n v="100"/>
    <n v="1"/>
    <n v="3987.2"/>
    <x v="139"/>
    <x v="0"/>
    <s v="Shipped"/>
    <n v="1"/>
    <n v="2"/>
    <n v="2005"/>
    <x v="1"/>
    <n v="117"/>
    <s v="S12_3380"/>
    <s v="Boards &amp; Toys Co."/>
    <n v="3105552373"/>
    <s v="4097 Douglas Av."/>
    <s v="N/A"/>
    <s v="Glendale"/>
    <s v="CA"/>
    <n v="92561"/>
    <x v="0"/>
    <s v="NA"/>
    <s v="Young"/>
    <s v="Leslie"/>
    <s v="Medium"/>
  </r>
  <r>
    <n v="10349"/>
    <n v="26"/>
    <n v="100"/>
    <n v="10"/>
    <n v="4408.5600000000004"/>
    <x v="140"/>
    <x v="6"/>
    <s v="Shipped"/>
    <n v="4"/>
    <n v="12"/>
    <n v="2004"/>
    <x v="1"/>
    <n v="173"/>
    <s v="S12_3891"/>
    <s v="Muscle Machine Inc"/>
    <n v="2125557413"/>
    <s v="4092 Furth Circle"/>
    <s v="Suite 400"/>
    <s v="NYC"/>
    <s v="NY"/>
    <n v="10022"/>
    <x v="0"/>
    <s v="NA"/>
    <s v="Young"/>
    <s v="Jeff"/>
    <s v="Medium"/>
  </r>
  <r>
    <n v="10396"/>
    <n v="33"/>
    <n v="100"/>
    <n v="3"/>
    <n v="6109.29"/>
    <x v="141"/>
    <x v="11"/>
    <s v="Shipped"/>
    <n v="1"/>
    <n v="3"/>
    <n v="2005"/>
    <x v="1"/>
    <n v="173"/>
    <s v="S12_3891"/>
    <s v="Mini Gifts Distributors Ltd."/>
    <n v="4155551450"/>
    <s v="5677 Strong St."/>
    <s v="N/A"/>
    <s v="San Rafael"/>
    <s v="CA"/>
    <n v="97562"/>
    <x v="0"/>
    <s v="NA"/>
    <s v="Nelson"/>
    <s v="Valarie"/>
    <s v="Medium"/>
  </r>
  <r>
    <n v="10377"/>
    <n v="24"/>
    <n v="67.83"/>
    <n v="5"/>
    <n v="1627.92"/>
    <x v="142"/>
    <x v="0"/>
    <s v="Shipped"/>
    <n v="1"/>
    <n v="2"/>
    <n v="2005"/>
    <x v="1"/>
    <n v="79"/>
    <s v="S12_3990"/>
    <s v="Toys of Finland, Co."/>
    <s v="90-224 8555"/>
    <s v="Keskuskatu 45"/>
    <s v="N/A"/>
    <s v="Helsinki"/>
    <s v="N/A"/>
    <n v="21240"/>
    <x v="4"/>
    <s v="EMEA"/>
    <s v="Karttunen"/>
    <s v="Matti"/>
    <s v="Small"/>
  </r>
  <r>
    <n v="10115"/>
    <n v="46"/>
    <n v="100"/>
    <n v="5"/>
    <n v="5723.78"/>
    <x v="143"/>
    <x v="8"/>
    <s v="Shipped"/>
    <n v="2"/>
    <n v="4"/>
    <n v="2003"/>
    <x v="2"/>
    <n v="118"/>
    <s v="S12_4473"/>
    <s v="Classic Legends Inc."/>
    <n v="2125558493"/>
    <s v="5905 Pompton St."/>
    <s v="Suite 750"/>
    <s v="NYC"/>
    <s v="NY"/>
    <n v="10022"/>
    <x v="0"/>
    <s v="NA"/>
    <s v="Hernandez"/>
    <s v="Maria"/>
    <s v="Medium"/>
  </r>
  <r>
    <n v="10141"/>
    <n v="21"/>
    <n v="100"/>
    <n v="5"/>
    <n v="2140.11"/>
    <x v="144"/>
    <x v="3"/>
    <s v="Shipped"/>
    <n v="3"/>
    <n v="8"/>
    <n v="2003"/>
    <x v="2"/>
    <n v="118"/>
    <s v="S12_4473"/>
    <s v="Suominen Souveniers"/>
    <s v="+358 9 8045 555"/>
    <s v="Software Engineering Center, SEC Oy"/>
    <s v="N/A"/>
    <s v="Espoo"/>
    <s v="N/A"/>
    <s v="FIN-02271"/>
    <x v="4"/>
    <s v="EMEA"/>
    <s v="Suominen"/>
    <s v="Kalle"/>
    <s v="Small"/>
  </r>
  <r>
    <n v="10151"/>
    <n v="24"/>
    <n v="100"/>
    <n v="3"/>
    <n v="3327.6"/>
    <x v="145"/>
    <x v="10"/>
    <s v="Shipped"/>
    <n v="3"/>
    <n v="9"/>
    <n v="2003"/>
    <x v="2"/>
    <n v="118"/>
    <s v="S12_4473"/>
    <s v="Oulu Toy Supplies, Inc."/>
    <s v="981-443655"/>
    <s v="Torikatu 38"/>
    <s v="N/A"/>
    <s v="Oulu"/>
    <s v="N/A"/>
    <n v="90110"/>
    <x v="4"/>
    <s v="EMEA"/>
    <s v="Koskitalo"/>
    <s v="Pirkko"/>
    <s v="Medium"/>
  </r>
  <r>
    <n v="10184"/>
    <n v="37"/>
    <n v="100"/>
    <n v="6"/>
    <n v="4516.22"/>
    <x v="69"/>
    <x v="5"/>
    <s v="Shipped"/>
    <n v="4"/>
    <n v="11"/>
    <n v="2003"/>
    <x v="2"/>
    <n v="118"/>
    <s v="S12_4473"/>
    <s v="Iberia Gift Imports, Corp."/>
    <s v="(95) 555 82 82"/>
    <s v="C/ Romero, 33"/>
    <s v="N/A"/>
    <s v="Sevilla"/>
    <s v="N/A"/>
    <n v="41101"/>
    <x v="7"/>
    <s v="EMEA"/>
    <s v="Roel"/>
    <s v="Jose Pedro"/>
    <s v="Medium"/>
  </r>
  <r>
    <n v="10195"/>
    <n v="49"/>
    <n v="100"/>
    <n v="6"/>
    <n v="6445.46"/>
    <x v="34"/>
    <x v="5"/>
    <s v="Shipped"/>
    <n v="4"/>
    <n v="11"/>
    <n v="2003"/>
    <x v="2"/>
    <n v="118"/>
    <s v="S12_4473"/>
    <s v="Mini Classics"/>
    <n v="9145554562"/>
    <s v="3758 North Pendale Street"/>
    <s v="N/A"/>
    <s v="White Plains"/>
    <s v="NY"/>
    <n v="24067"/>
    <x v="0"/>
    <s v="NA"/>
    <s v="Frick"/>
    <s v="Steve"/>
    <s v="Medium"/>
  </r>
  <r>
    <n v="10219"/>
    <n v="48"/>
    <n v="100"/>
    <n v="2"/>
    <n v="4891.68"/>
    <x v="146"/>
    <x v="0"/>
    <s v="Shipped"/>
    <n v="1"/>
    <n v="2"/>
    <n v="2004"/>
    <x v="2"/>
    <n v="118"/>
    <s v="S12_4473"/>
    <s v="Signal Collectibles Ltd."/>
    <n v="4155554312"/>
    <s v="2793 Furth Circle"/>
    <s v="N/A"/>
    <s v="Brisbane"/>
    <s v="CA"/>
    <n v="94217"/>
    <x v="0"/>
    <s v="NA"/>
    <s v="Taylor"/>
    <s v="Sue"/>
    <s v="Medium"/>
  </r>
  <r>
    <n v="10246"/>
    <n v="46"/>
    <n v="100"/>
    <n v="5"/>
    <n v="5069.66"/>
    <x v="125"/>
    <x v="1"/>
    <s v="Shipped"/>
    <n v="2"/>
    <n v="5"/>
    <n v="2004"/>
    <x v="2"/>
    <n v="118"/>
    <s v="S12_4473"/>
    <s v="Euro Shopping Channel"/>
    <s v="(91) 555 94 44"/>
    <s v="C/ Moralzarzal, 86"/>
    <s v="N/A"/>
    <s v="Madrid"/>
    <s v="N/A"/>
    <n v="28034"/>
    <x v="7"/>
    <s v="EMEA"/>
    <s v="Freyre"/>
    <s v="Diego"/>
    <s v="Medium"/>
  </r>
  <r>
    <n v="10271"/>
    <n v="31"/>
    <n v="97.17"/>
    <n v="5"/>
    <n v="3012.27"/>
    <x v="126"/>
    <x v="2"/>
    <s v="Shipped"/>
    <n v="3"/>
    <n v="7"/>
    <n v="2004"/>
    <x v="2"/>
    <n v="118"/>
    <s v="S12_4473"/>
    <s v="Mini Gifts Distributors Ltd."/>
    <n v="4155551450"/>
    <s v="5677 Strong St."/>
    <s v="N/A"/>
    <s v="San Rafael"/>
    <s v="CA"/>
    <n v="97562"/>
    <x v="0"/>
    <s v="NA"/>
    <s v="Nelson"/>
    <s v="Valarie"/>
    <s v="Medium"/>
  </r>
  <r>
    <n v="10292"/>
    <n v="21"/>
    <n v="100"/>
    <n v="8"/>
    <n v="2214.87"/>
    <x v="42"/>
    <x v="10"/>
    <s v="Shipped"/>
    <n v="3"/>
    <n v="9"/>
    <n v="2004"/>
    <x v="2"/>
    <n v="118"/>
    <s v="S12_4473"/>
    <s v="Land of Toys Inc."/>
    <n v="2125557818"/>
    <s v="897 Long Airport Avenue"/>
    <s v="N/A"/>
    <s v="NYC"/>
    <s v="NY"/>
    <n v="10022"/>
    <x v="0"/>
    <s v="NA"/>
    <s v="Yu"/>
    <s v="Kwai"/>
    <s v="Small"/>
  </r>
  <r>
    <n v="10412"/>
    <n v="54"/>
    <n v="100"/>
    <n v="5"/>
    <n v="5951.34"/>
    <x v="147"/>
    <x v="1"/>
    <s v="Shipped"/>
    <n v="2"/>
    <n v="5"/>
    <n v="2005"/>
    <x v="2"/>
    <n v="118"/>
    <s v="S12_4473"/>
    <s v="Euro Shopping Channel"/>
    <s v="(91) 555 94 44"/>
    <s v="C/ Moralzarzal, 86"/>
    <s v="N/A"/>
    <s v="Madrid"/>
    <s v="N/A"/>
    <n v="28034"/>
    <x v="7"/>
    <s v="EMEA"/>
    <s v="Freyre"/>
    <s v="Diego"/>
    <s v="Medium"/>
  </r>
  <r>
    <n v="10192"/>
    <n v="27"/>
    <n v="100"/>
    <n v="16"/>
    <n v="3544.56"/>
    <x v="104"/>
    <x v="5"/>
    <s v="Shipped"/>
    <n v="4"/>
    <n v="11"/>
    <n v="2003"/>
    <x v="1"/>
    <n v="115"/>
    <s v="S12_4675"/>
    <s v="Online Diecast Creations Co."/>
    <n v="6035558647"/>
    <s v="2304 Long Airport Avenue"/>
    <s v="N/A"/>
    <s v="Nashua"/>
    <s v="NH"/>
    <n v="62005"/>
    <x v="0"/>
    <s v="NA"/>
    <s v="Young"/>
    <s v="Valarie"/>
    <s v="Medium"/>
  </r>
  <r>
    <n v="10239"/>
    <n v="21"/>
    <n v="93.28"/>
    <n v="5"/>
    <n v="1958.88"/>
    <x v="148"/>
    <x v="8"/>
    <s v="Shipped"/>
    <n v="2"/>
    <n v="4"/>
    <n v="2004"/>
    <x v="1"/>
    <n v="115"/>
    <s v="S12_4675"/>
    <s v="Oulu Toy Supplies, Inc."/>
    <s v="981-443655"/>
    <s v="Torikatu 38"/>
    <s v="N/A"/>
    <s v="Oulu"/>
    <s v="N/A"/>
    <n v="90110"/>
    <x v="4"/>
    <s v="EMEA"/>
    <s v="Koskitalo"/>
    <s v="Pirkko"/>
    <s v="Small"/>
  </r>
  <r>
    <n v="10277"/>
    <n v="28"/>
    <n v="100"/>
    <n v="1"/>
    <n v="3127.88"/>
    <x v="149"/>
    <x v="3"/>
    <s v="Shipped"/>
    <n v="3"/>
    <n v="8"/>
    <n v="2004"/>
    <x v="1"/>
    <n v="115"/>
    <s v="S12_4675"/>
    <s v="Dragon Souveniers, Ltd."/>
    <s v="+65 221 7555"/>
    <s v="Bronz Sok., Bronz Apt. 3/6 Tesvikiye"/>
    <s v="N/A"/>
    <s v="Singapore"/>
    <s v="N/A"/>
    <n v="79903"/>
    <x v="9"/>
    <s v="Japan"/>
    <s v="Natividad"/>
    <s v="Eric"/>
    <s v="Medium"/>
  </r>
  <r>
    <n v="10321"/>
    <n v="24"/>
    <n v="100"/>
    <n v="15"/>
    <n v="2984.88"/>
    <x v="45"/>
    <x v="5"/>
    <s v="Shipped"/>
    <n v="4"/>
    <n v="11"/>
    <n v="2004"/>
    <x v="1"/>
    <n v="115"/>
    <s v="S12_4675"/>
    <s v="FunGiftIdeas.com"/>
    <n v="5085552555"/>
    <s v="1785 First Street"/>
    <s v="N/A"/>
    <s v="New Bedford"/>
    <s v="MA"/>
    <n v="50553"/>
    <x v="0"/>
    <s v="NA"/>
    <s v="Benitez"/>
    <s v="Violeta"/>
    <s v="Small"/>
  </r>
  <r>
    <n v="10405"/>
    <n v="97"/>
    <n v="93.28"/>
    <n v="5"/>
    <n v="9048.16"/>
    <x v="150"/>
    <x v="8"/>
    <s v="Shipped"/>
    <n v="2"/>
    <n v="4"/>
    <n v="2005"/>
    <x v="1"/>
    <n v="115"/>
    <s v="S12_4675"/>
    <s v="Mini Caravy"/>
    <s v="88.60.1555"/>
    <s v="24, place Kluber"/>
    <s v="N/A"/>
    <s v="Strasbourg"/>
    <s v="N/A"/>
    <n v="67000"/>
    <x v="1"/>
    <s v="EMEA"/>
    <s v="Citeaux"/>
    <s v="Frederique"/>
    <s v="Large"/>
  </r>
  <r>
    <n v="10109"/>
    <n v="26"/>
    <n v="100"/>
    <n v="4"/>
    <n v="4379.18"/>
    <x v="151"/>
    <x v="11"/>
    <s v="Shipped"/>
    <n v="1"/>
    <n v="3"/>
    <n v="2003"/>
    <x v="1"/>
    <n v="141"/>
    <s v="S18_1129"/>
    <s v="Motor Mint Distributors Inc."/>
    <n v="2155559857"/>
    <s v="11328 Douglas Av."/>
    <s v="N/A"/>
    <s v="Philadelphia"/>
    <s v="PA"/>
    <n v="71270"/>
    <x v="0"/>
    <s v="NA"/>
    <s v="Hernandez"/>
    <s v="Rosa"/>
    <s v="Medium"/>
  </r>
  <r>
    <n v="10136"/>
    <n v="25"/>
    <n v="100"/>
    <n v="2"/>
    <n v="3644.75"/>
    <x v="152"/>
    <x v="2"/>
    <s v="Shipped"/>
    <n v="3"/>
    <n v="7"/>
    <n v="2003"/>
    <x v="1"/>
    <n v="141"/>
    <s v="S18_1129"/>
    <s v="Alpha Cognac"/>
    <s v="61.77.6555"/>
    <s v="1 rue Alsace-Lorraine"/>
    <s v="N/A"/>
    <s v="Toulouse"/>
    <s v="N/A"/>
    <n v="31000"/>
    <x v="1"/>
    <s v="EMEA"/>
    <s v="Roulet"/>
    <s v="Annette"/>
    <s v="Medium"/>
  </r>
  <r>
    <n v="10148"/>
    <n v="23"/>
    <n v="100"/>
    <n v="13"/>
    <n v="2702.04"/>
    <x v="153"/>
    <x v="10"/>
    <s v="Shipped"/>
    <n v="3"/>
    <n v="9"/>
    <n v="2003"/>
    <x v="1"/>
    <n v="141"/>
    <s v="S18_1129"/>
    <s v="Anna's Decorations, Ltd"/>
    <s v="02 9936 8555"/>
    <s v="201 Miller Street"/>
    <s v="Level 15"/>
    <s v="North Sydney"/>
    <s v="NSW"/>
    <n v="2060"/>
    <x v="3"/>
    <s v="APAC"/>
    <s v="O'Hara"/>
    <s v="Anna"/>
    <s v="Small"/>
  </r>
  <r>
    <n v="10161"/>
    <n v="28"/>
    <n v="100"/>
    <n v="12"/>
    <n v="3764.88"/>
    <x v="154"/>
    <x v="4"/>
    <s v="Shipped"/>
    <n v="4"/>
    <n v="10"/>
    <n v="2003"/>
    <x v="1"/>
    <n v="141"/>
    <s v="S18_1129"/>
    <s v="Heintze Collectables"/>
    <s v="86 21 3555"/>
    <s v="Smagsloget 45"/>
    <s v="N/A"/>
    <s v="Aaarhus"/>
    <s v="N/A"/>
    <n v="8200"/>
    <x v="13"/>
    <s v="EMEA"/>
    <s v="Ibsen"/>
    <s v="Palle"/>
    <s v="Medium"/>
  </r>
  <r>
    <n v="10171"/>
    <n v="35"/>
    <n v="100"/>
    <n v="2"/>
    <n v="4508"/>
    <x v="155"/>
    <x v="5"/>
    <s v="Shipped"/>
    <n v="4"/>
    <n v="11"/>
    <n v="2003"/>
    <x v="1"/>
    <n v="141"/>
    <s v="S18_1129"/>
    <s v="Quebec Home Shopping Network"/>
    <s v="(514) 555-8054"/>
    <s v="43 rue St. Laurent"/>
    <s v="N/A"/>
    <s v="Montreal"/>
    <s v="Quebec"/>
    <s v="H1J 1C3"/>
    <x v="10"/>
    <s v="NA"/>
    <s v="Fresnisre"/>
    <s v="Jean"/>
    <s v="Medium"/>
  </r>
  <r>
    <n v="10204"/>
    <n v="42"/>
    <n v="100"/>
    <n v="17"/>
    <n v="6182.4"/>
    <x v="105"/>
    <x v="6"/>
    <s v="Shipped"/>
    <n v="4"/>
    <n v="12"/>
    <n v="2003"/>
    <x v="1"/>
    <n v="141"/>
    <s v="S18_1129"/>
    <s v="Muscle Machine Inc"/>
    <n v="2125557413"/>
    <s v="4092 Furth Circle"/>
    <s v="Suite 400"/>
    <s v="NYC"/>
    <s v="NY"/>
    <n v="10022"/>
    <x v="0"/>
    <s v="NA"/>
    <s v="Young"/>
    <s v="Jeff"/>
    <s v="Medium"/>
  </r>
  <r>
    <n v="10240"/>
    <n v="41"/>
    <n v="100"/>
    <n v="3"/>
    <n v="5628.89"/>
    <x v="156"/>
    <x v="8"/>
    <s v="Shipped"/>
    <n v="2"/>
    <n v="4"/>
    <n v="2004"/>
    <x v="1"/>
    <n v="141"/>
    <s v="S18_1129"/>
    <s v="Osaka Souveniers Co."/>
    <s v="+81 06 6342 5555"/>
    <s v="Dojima Avanza 4F, 1-6-20 Dojima, Kita-ku"/>
    <s v="N/A"/>
    <s v="Osaka"/>
    <s v="Osaka"/>
    <s v="530-0003"/>
    <x v="11"/>
    <s v="Japan"/>
    <s v="Kentary"/>
    <s v="Mory"/>
    <s v="Medium"/>
  </r>
  <r>
    <n v="10278"/>
    <n v="34"/>
    <n v="100"/>
    <n v="6"/>
    <n v="4667.8599999999997"/>
    <x v="157"/>
    <x v="3"/>
    <s v="Shipped"/>
    <n v="3"/>
    <n v="8"/>
    <n v="2004"/>
    <x v="1"/>
    <n v="141"/>
    <s v="S18_1129"/>
    <s v="Signal Gift Stores"/>
    <n v="7025551838"/>
    <s v="8489 Strong St."/>
    <s v="N/A"/>
    <s v="Las Vegas"/>
    <s v="NV"/>
    <n v="83030"/>
    <x v="0"/>
    <s v="NA"/>
    <s v="King"/>
    <s v="Sue"/>
    <s v="Medium"/>
  </r>
  <r>
    <n v="10301"/>
    <n v="37"/>
    <n v="100"/>
    <n v="8"/>
    <n v="5917.78"/>
    <x v="158"/>
    <x v="4"/>
    <s v="Shipped"/>
    <n v="4"/>
    <n v="10"/>
    <n v="2003"/>
    <x v="1"/>
    <n v="141"/>
    <s v="S18_1129"/>
    <s v="Norway Gifts By Mail, Co."/>
    <s v="+47 2212 1555"/>
    <s v="Drammensveien 126 A, PB 744 Sentrum"/>
    <s v="N/A"/>
    <s v="Oslo"/>
    <s v="N/A"/>
    <s v="N 0106"/>
    <x v="2"/>
    <s v="EMEA"/>
    <s v="Klaeboe"/>
    <s v="Jan"/>
    <s v="Medium"/>
  </r>
  <r>
    <n v="10331"/>
    <n v="46"/>
    <n v="100"/>
    <n v="6"/>
    <n v="6434.02"/>
    <x v="159"/>
    <x v="5"/>
    <s v="Shipped"/>
    <n v="4"/>
    <n v="11"/>
    <n v="2004"/>
    <x v="1"/>
    <n v="141"/>
    <s v="S18_1129"/>
    <s v="Motor Mint Distributors Inc."/>
    <n v="2155559857"/>
    <s v="11328 Douglas Av."/>
    <s v="N/A"/>
    <s v="Philadelphia"/>
    <s v="PA"/>
    <n v="71270"/>
    <x v="0"/>
    <s v="NA"/>
    <s v="Hernandez"/>
    <s v="Rosa"/>
    <s v="Medium"/>
  </r>
  <r>
    <n v="10342"/>
    <n v="40"/>
    <n v="100"/>
    <n v="2"/>
    <n v="6454.4"/>
    <x v="20"/>
    <x v="5"/>
    <s v="Shipped"/>
    <n v="4"/>
    <n v="11"/>
    <n v="2004"/>
    <x v="1"/>
    <n v="141"/>
    <s v="S18_1129"/>
    <s v="Australian Collectors, Co."/>
    <s v="03 9520 4555"/>
    <s v="636 St Kilda Road"/>
    <s v="Level 3"/>
    <s v="Melbourne"/>
    <s v="Victoria"/>
    <n v="3004"/>
    <x v="3"/>
    <s v="APAC"/>
    <s v="Ferguson"/>
    <s v="Peter"/>
    <s v="Medium"/>
  </r>
  <r>
    <n v="10356"/>
    <n v="43"/>
    <n v="97.6"/>
    <n v="8"/>
    <n v="4196.8"/>
    <x v="160"/>
    <x v="6"/>
    <s v="Shipped"/>
    <n v="4"/>
    <n v="12"/>
    <n v="2004"/>
    <x v="1"/>
    <n v="141"/>
    <s v="S18_1129"/>
    <s v="Lyon Souveniers"/>
    <s v="+33 1 46 62 7555"/>
    <s v="27 rue du Colonel Pierre Avia"/>
    <s v="N/A"/>
    <s v="Paris"/>
    <s v="N/A"/>
    <n v="75508"/>
    <x v="1"/>
    <s v="EMEA"/>
    <s v="Da Cunha"/>
    <s v="Daniel"/>
    <s v="Medium"/>
  </r>
  <r>
    <n v="10365"/>
    <n v="30"/>
    <n v="87.06"/>
    <n v="1"/>
    <n v="2611.8000000000002"/>
    <x v="161"/>
    <x v="7"/>
    <s v="Shipped"/>
    <n v="1"/>
    <n v="1"/>
    <n v="2005"/>
    <x v="1"/>
    <n v="141"/>
    <s v="S18_1129"/>
    <s v="Mini Creations Ltd."/>
    <n v="5085559555"/>
    <s v="4575 Hillside Dr."/>
    <s v="N/A"/>
    <s v="New Bedford"/>
    <s v="MA"/>
    <n v="50553"/>
    <x v="0"/>
    <s v="NA"/>
    <s v="Tam"/>
    <s v="Wing C"/>
    <s v="Small"/>
  </r>
  <r>
    <n v="10390"/>
    <n v="36"/>
    <n v="93.77"/>
    <n v="14"/>
    <n v="3375.72"/>
    <x v="162"/>
    <x v="11"/>
    <s v="Shipped"/>
    <n v="1"/>
    <n v="3"/>
    <n v="2005"/>
    <x v="1"/>
    <n v="141"/>
    <s v="S18_1129"/>
    <s v="Mini Gifts Distributors Ltd."/>
    <n v="4155551450"/>
    <s v="5677 Strong St."/>
    <s v="N/A"/>
    <s v="San Rafael"/>
    <s v="CA"/>
    <n v="97562"/>
    <x v="0"/>
    <s v="NA"/>
    <s v="Nelson"/>
    <s v="Valarie"/>
    <s v="Medium"/>
  </r>
  <r>
    <n v="10406"/>
    <n v="61"/>
    <n v="100"/>
    <n v="3"/>
    <n v="8374.69"/>
    <x v="163"/>
    <x v="8"/>
    <s v="Disputed"/>
    <n v="2"/>
    <n v="4"/>
    <n v="2005"/>
    <x v="1"/>
    <n v="141"/>
    <s v="S18_1129"/>
    <s v="Danish Wholesale Imports"/>
    <s v="31 12 3555"/>
    <s v="Vinb'ltet 34"/>
    <s v="N/A"/>
    <s v="Kobenhavn"/>
    <s v="N/A"/>
    <n v="1734"/>
    <x v="13"/>
    <s v="EMEA"/>
    <s v="Petersen"/>
    <s v="Jytte"/>
    <s v="Large"/>
  </r>
  <r>
    <n v="10102"/>
    <n v="39"/>
    <n v="100"/>
    <n v="2"/>
    <n v="4808.3100000000004"/>
    <x v="164"/>
    <x v="7"/>
    <s v="Shipped"/>
    <n v="1"/>
    <n v="1"/>
    <n v="2003"/>
    <x v="3"/>
    <n v="102"/>
    <s v="S18_1342"/>
    <s v="Vitachrome Inc."/>
    <n v="2125551500"/>
    <s v="2678 Kingston Rd."/>
    <s v="Suite 101"/>
    <s v="NYC"/>
    <s v="NY"/>
    <n v="10022"/>
    <x v="0"/>
    <s v="NA"/>
    <s v="Frick"/>
    <s v="Michael"/>
    <s v="Medium"/>
  </r>
  <r>
    <n v="10111"/>
    <n v="33"/>
    <n v="99.66"/>
    <n v="6"/>
    <n v="3288.78"/>
    <x v="165"/>
    <x v="11"/>
    <s v="Shipped"/>
    <n v="1"/>
    <n v="3"/>
    <n v="2003"/>
    <x v="3"/>
    <n v="102"/>
    <s v="S18_1342"/>
    <s v="Mini Wheels Co."/>
    <n v="6505555787"/>
    <s v="5557 North Pendale Street"/>
    <s v="N/A"/>
    <s v="San Francisco"/>
    <s v="CA"/>
    <s v="N/A"/>
    <x v="0"/>
    <s v="NA"/>
    <s v="Murphy"/>
    <s v="Julie"/>
    <s v="Medium"/>
  </r>
  <r>
    <n v="10125"/>
    <n v="32"/>
    <n v="100"/>
    <n v="1"/>
    <n v="3254.72"/>
    <x v="166"/>
    <x v="1"/>
    <s v="Shipped"/>
    <n v="2"/>
    <n v="5"/>
    <n v="2003"/>
    <x v="3"/>
    <n v="102"/>
    <s v="S18_1342"/>
    <s v="Australian Collectors, Co."/>
    <s v="03 9520 4555"/>
    <s v="636 St Kilda Road"/>
    <s v="Level 3"/>
    <s v="Melbourne"/>
    <s v="Victoria"/>
    <n v="3004"/>
    <x v="3"/>
    <s v="APAC"/>
    <s v="Ferguson"/>
    <s v="Peter"/>
    <s v="Medium"/>
  </r>
  <r>
    <n v="10139"/>
    <n v="31"/>
    <n v="100"/>
    <n v="7"/>
    <n v="3184.94"/>
    <x v="167"/>
    <x v="2"/>
    <s v="Shipped"/>
    <n v="3"/>
    <n v="7"/>
    <n v="2003"/>
    <x v="3"/>
    <n v="102"/>
    <s v="S18_1342"/>
    <s v="Souveniers And Things Co."/>
    <s v="+61 2 9495 8555"/>
    <s v="Monitor Money Building, 815 Pacific Hwy"/>
    <s v="Level 6"/>
    <s v="Chatswood"/>
    <s v="NSW"/>
    <n v="2067"/>
    <x v="3"/>
    <s v="APAC"/>
    <s v="Huxley"/>
    <s v="Adrian"/>
    <s v="Medium"/>
  </r>
  <r>
    <n v="10149"/>
    <n v="50"/>
    <n v="100"/>
    <n v="4"/>
    <n v="5907.5"/>
    <x v="168"/>
    <x v="10"/>
    <s v="Shipped"/>
    <n v="3"/>
    <n v="9"/>
    <n v="2003"/>
    <x v="3"/>
    <n v="102"/>
    <s v="S18_1342"/>
    <s v="Signal Collectibles Ltd."/>
    <n v="4155554312"/>
    <s v="2793 Furth Circle"/>
    <s v="N/A"/>
    <s v="Brisbane"/>
    <s v="CA"/>
    <n v="94217"/>
    <x v="0"/>
    <s v="NA"/>
    <s v="Taylor"/>
    <s v="Sue"/>
    <s v="Medium"/>
  </r>
  <r>
    <n v="10162"/>
    <n v="48"/>
    <n v="91.44"/>
    <n v="2"/>
    <n v="4389.12"/>
    <x v="169"/>
    <x v="4"/>
    <s v="Shipped"/>
    <n v="4"/>
    <n v="10"/>
    <n v="2003"/>
    <x v="3"/>
    <n v="102"/>
    <s v="S18_1342"/>
    <s v="Corporate Gift Ideas Co."/>
    <n v="6505551386"/>
    <s v="7734 Strong St."/>
    <s v="N/A"/>
    <s v="San Francisco"/>
    <s v="CA"/>
    <s v="N/A"/>
    <x v="0"/>
    <s v="NA"/>
    <s v="Brown"/>
    <s v="Julie"/>
    <s v="Medium"/>
  </r>
  <r>
    <n v="10173"/>
    <n v="43"/>
    <n v="100"/>
    <n v="6"/>
    <n v="5036.16"/>
    <x v="155"/>
    <x v="5"/>
    <s v="Shipped"/>
    <n v="4"/>
    <n v="11"/>
    <n v="2003"/>
    <x v="3"/>
    <n v="102"/>
    <s v="S18_1342"/>
    <s v="Rovelli Gifts"/>
    <s v="035-640555"/>
    <s v="Via Ludovico il Moro 22"/>
    <s v="N/A"/>
    <s v="Bergamo"/>
    <s v="N/A"/>
    <n v="24100"/>
    <x v="12"/>
    <s v="EMEA"/>
    <s v="Rovelli"/>
    <s v="Giovanni"/>
    <s v="Medium"/>
  </r>
  <r>
    <n v="10182"/>
    <n v="25"/>
    <n v="87.33"/>
    <n v="3"/>
    <n v="2183.25"/>
    <x v="103"/>
    <x v="5"/>
    <s v="Shipped"/>
    <n v="4"/>
    <n v="11"/>
    <n v="2003"/>
    <x v="3"/>
    <n v="102"/>
    <s v="S18_1342"/>
    <s v="Mini Gifts Distributors Ltd."/>
    <n v="4155551450"/>
    <s v="5677 Strong St."/>
    <s v="N/A"/>
    <s v="San Rafael"/>
    <s v="CA"/>
    <n v="97562"/>
    <x v="0"/>
    <s v="NA"/>
    <s v="Nelson"/>
    <s v="Valarie"/>
    <s v="Small"/>
  </r>
  <r>
    <n v="10193"/>
    <n v="28"/>
    <n v="100"/>
    <n v="7"/>
    <n v="3106.88"/>
    <x v="170"/>
    <x v="5"/>
    <s v="Shipped"/>
    <n v="4"/>
    <n v="11"/>
    <n v="2003"/>
    <x v="3"/>
    <n v="102"/>
    <s v="S18_1342"/>
    <s v="Australian Collectables, Ltd"/>
    <s v="61-9-3844-6555"/>
    <s v="7 Allen Street"/>
    <s v="N/A"/>
    <s v="Glen Waverly"/>
    <s v="Victoria"/>
    <n v="3150"/>
    <x v="3"/>
    <s v="APAC"/>
    <s v="Connery"/>
    <s v="Sean"/>
    <s v="Medium"/>
  </r>
  <r>
    <n v="10205"/>
    <n v="36"/>
    <n v="100"/>
    <n v="2"/>
    <n v="3735.72"/>
    <x v="171"/>
    <x v="6"/>
    <s v="Shipped"/>
    <n v="4"/>
    <n v="12"/>
    <n v="2003"/>
    <x v="3"/>
    <n v="102"/>
    <s v="S18_1342"/>
    <s v="Euro Shopping Channel"/>
    <s v="(91) 555 94 44"/>
    <s v="C/ Moralzarzal, 86"/>
    <s v="N/A"/>
    <s v="Madrid"/>
    <s v="N/A"/>
    <n v="28034"/>
    <x v="7"/>
    <s v="EMEA"/>
    <s v="Freyre"/>
    <s v="Diego"/>
    <s v="Medium"/>
  </r>
  <r>
    <n v="10227"/>
    <n v="25"/>
    <n v="100"/>
    <n v="3"/>
    <n v="2953.75"/>
    <x v="172"/>
    <x v="11"/>
    <s v="Shipped"/>
    <n v="1"/>
    <n v="3"/>
    <n v="2004"/>
    <x v="3"/>
    <n v="102"/>
    <s v="S18_1342"/>
    <s v="Saveley &amp; Henriot, Co."/>
    <s v="78.32.5555"/>
    <s v="2, rue du Commerce"/>
    <s v="N/A"/>
    <s v="Lyon"/>
    <s v="N/A"/>
    <n v="69004"/>
    <x v="1"/>
    <s v="EMEA"/>
    <s v="Saveley"/>
    <s v="Mary"/>
    <s v="Small"/>
  </r>
  <r>
    <n v="10244"/>
    <n v="40"/>
    <n v="100"/>
    <n v="7"/>
    <n v="4684.8"/>
    <x v="173"/>
    <x v="8"/>
    <s v="Shipped"/>
    <n v="2"/>
    <n v="4"/>
    <n v="2004"/>
    <x v="3"/>
    <n v="102"/>
    <s v="S18_1342"/>
    <s v="Euro Shopping Channel"/>
    <s v="(91) 555 94 44"/>
    <s v="C/ Moralzarzal, 86"/>
    <s v="N/A"/>
    <s v="Madrid"/>
    <s v="N/A"/>
    <n v="28034"/>
    <x v="7"/>
    <s v="EMEA"/>
    <s v="Freyre"/>
    <s v="Diego"/>
    <s v="Medium"/>
  </r>
  <r>
    <n v="10256"/>
    <n v="34"/>
    <n v="95.55"/>
    <n v="2"/>
    <n v="3248.7"/>
    <x v="174"/>
    <x v="9"/>
    <s v="Shipped"/>
    <n v="2"/>
    <n v="6"/>
    <n v="2004"/>
    <x v="3"/>
    <n v="102"/>
    <s v="S18_1342"/>
    <s v="Danish Wholesale Imports"/>
    <s v="31 12 3555"/>
    <s v="Vinb'ltet 34"/>
    <s v="N/A"/>
    <s v="Kobenhavn"/>
    <s v="N/A"/>
    <n v="1734"/>
    <x v="13"/>
    <s v="EMEA"/>
    <s v="Petersen"/>
    <s v="Jytte"/>
    <s v="Medium"/>
  </r>
  <r>
    <n v="10289"/>
    <n v="38"/>
    <n v="100"/>
    <n v="2"/>
    <n v="4567.9799999999996"/>
    <x v="175"/>
    <x v="10"/>
    <s v="Shipped"/>
    <n v="3"/>
    <n v="9"/>
    <n v="2004"/>
    <x v="3"/>
    <n v="102"/>
    <s v="S18_1342"/>
    <s v="Herkku Gifts"/>
    <s v="+47 2267 3215"/>
    <s v="Drammen 121, PR 744 Sentrum"/>
    <s v="N/A"/>
    <s v="Bergen"/>
    <s v="N/A"/>
    <s v="N 5804"/>
    <x v="2"/>
    <s v="EMEA"/>
    <s v="Oeztan"/>
    <s v="Veysel"/>
    <s v="Medium"/>
  </r>
  <r>
    <n v="10332"/>
    <n v="46"/>
    <n v="95.13"/>
    <n v="15"/>
    <n v="4375.9799999999996"/>
    <x v="159"/>
    <x v="5"/>
    <s v="Shipped"/>
    <n v="4"/>
    <n v="11"/>
    <n v="2004"/>
    <x v="3"/>
    <n v="102"/>
    <s v="S18_1342"/>
    <s v="AV Stores, Co."/>
    <s v="(171) 555-1555"/>
    <s v="Fauntleroy Circus"/>
    <s v="N/A"/>
    <s v="Manchester"/>
    <s v="N/A"/>
    <s v="EC2 5NT"/>
    <x v="6"/>
    <s v="EMEA"/>
    <s v="Ashworth"/>
    <s v="Victoria"/>
    <s v="Medium"/>
  </r>
  <r>
    <n v="10346"/>
    <n v="42"/>
    <n v="36.11"/>
    <n v="3"/>
    <n v="1516.62"/>
    <x v="47"/>
    <x v="5"/>
    <s v="Shipped"/>
    <n v="4"/>
    <n v="11"/>
    <n v="2004"/>
    <x v="3"/>
    <n v="102"/>
    <s v="S18_1342"/>
    <s v="Signal Gift Stores"/>
    <n v="7025551838"/>
    <s v="8489 Strong St."/>
    <s v="N/A"/>
    <s v="Las Vegas"/>
    <s v="NV"/>
    <n v="83030"/>
    <x v="0"/>
    <s v="NA"/>
    <s v="King"/>
    <s v="Sue"/>
    <s v="Small"/>
  </r>
  <r>
    <n v="10380"/>
    <n v="27"/>
    <n v="93.16"/>
    <n v="13"/>
    <n v="2515.3200000000002"/>
    <x v="176"/>
    <x v="0"/>
    <s v="Shipped"/>
    <n v="1"/>
    <n v="2"/>
    <n v="2005"/>
    <x v="3"/>
    <n v="102"/>
    <s v="S18_1342"/>
    <s v="Euro Shopping Channel"/>
    <s v="(91) 555 94 44"/>
    <s v="C/ Moralzarzal, 86"/>
    <s v="N/A"/>
    <s v="Madrid"/>
    <s v="N/A"/>
    <n v="28034"/>
    <x v="7"/>
    <s v="EMEA"/>
    <s v="Freyre"/>
    <s v="Diego"/>
    <s v="Small"/>
  </r>
  <r>
    <n v="10422"/>
    <n v="51"/>
    <n v="95.55"/>
    <n v="2"/>
    <n v="4873.05"/>
    <x v="177"/>
    <x v="1"/>
    <s v="In Process"/>
    <n v="2"/>
    <n v="5"/>
    <n v="2005"/>
    <x v="3"/>
    <n v="102"/>
    <s v="S18_1342"/>
    <s v="Diecast Classics Inc."/>
    <n v="2155551555"/>
    <s v="7586 Pompton St."/>
    <s v="N/A"/>
    <s v="Allentown"/>
    <s v="PA"/>
    <n v="70267"/>
    <x v="0"/>
    <s v="NA"/>
    <s v="Yu"/>
    <s v="Kyung"/>
    <s v="Medium"/>
  </r>
  <r>
    <n v="10110"/>
    <n v="37"/>
    <n v="100"/>
    <n v="16"/>
    <n v="5433.08"/>
    <x v="178"/>
    <x v="11"/>
    <s v="Shipped"/>
    <n v="1"/>
    <n v="3"/>
    <n v="2003"/>
    <x v="1"/>
    <n v="124"/>
    <s v="S18_1589"/>
    <s v="AV Stores, Co."/>
    <s v="(171) 555-1555"/>
    <s v="Fauntleroy Circus"/>
    <s v="N/A"/>
    <s v="Manchester"/>
    <s v="N/A"/>
    <s v="EC2 5NT"/>
    <x v="6"/>
    <s v="EMEA"/>
    <s v="Ashworth"/>
    <s v="Victoria"/>
    <s v="Medium"/>
  </r>
  <r>
    <n v="10123"/>
    <n v="26"/>
    <n v="100"/>
    <n v="2"/>
    <n v="3073.72"/>
    <x v="179"/>
    <x v="1"/>
    <s v="Shipped"/>
    <n v="2"/>
    <n v="5"/>
    <n v="2003"/>
    <x v="1"/>
    <n v="124"/>
    <s v="S18_1589"/>
    <s v="Atelier graphique"/>
    <s v="40.32.2555"/>
    <s v="54, rue Royale"/>
    <s v="N/A"/>
    <s v="Nantes"/>
    <s v="N/A"/>
    <n v="44000"/>
    <x v="1"/>
    <s v="EMEA"/>
    <s v="Schmitt"/>
    <s v="Carine"/>
    <s v="Medium"/>
  </r>
  <r>
    <n v="10137"/>
    <n v="44"/>
    <n v="99.55"/>
    <n v="2"/>
    <n v="4380.2"/>
    <x v="180"/>
    <x v="2"/>
    <s v="Shipped"/>
    <n v="3"/>
    <n v="7"/>
    <n v="2003"/>
    <x v="1"/>
    <n v="124"/>
    <s v="S18_1589"/>
    <s v="Reims Collectables"/>
    <s v="26.47.1555"/>
    <s v="59 rue de l'Abbaye"/>
    <s v="N/A"/>
    <s v="Reims"/>
    <s v="N/A"/>
    <n v="51100"/>
    <x v="1"/>
    <s v="EMEA"/>
    <s v="Henriot"/>
    <s v="Paul"/>
    <s v="Medium"/>
  </r>
  <r>
    <n v="10172"/>
    <n v="42"/>
    <n v="100"/>
    <n v="6"/>
    <n v="4965.24"/>
    <x v="155"/>
    <x v="5"/>
    <s v="Shipped"/>
    <n v="4"/>
    <n v="11"/>
    <n v="2003"/>
    <x v="1"/>
    <n v="124"/>
    <s v="S18_1589"/>
    <s v="Gift Depot Inc."/>
    <n v="2035552570"/>
    <s v="25593 South Bay Ln."/>
    <s v="N/A"/>
    <s v="Bridgewater"/>
    <s v="CT"/>
    <n v="97562"/>
    <x v="0"/>
    <s v="NA"/>
    <s v="King"/>
    <s v="Julie"/>
    <s v="Medium"/>
  </r>
  <r>
    <n v="10226"/>
    <n v="38"/>
    <n v="100"/>
    <n v="4"/>
    <n v="4161.38"/>
    <x v="181"/>
    <x v="0"/>
    <s v="Shipped"/>
    <n v="1"/>
    <n v="2"/>
    <n v="2004"/>
    <x v="1"/>
    <n v="124"/>
    <s v="S18_1589"/>
    <s v="Collectable Mini Designs Co."/>
    <n v="7605558146"/>
    <s v="361 Furth Circle"/>
    <s v="N/A"/>
    <s v="San Diego"/>
    <s v="CA"/>
    <n v="91217"/>
    <x v="0"/>
    <s v="NA"/>
    <s v="Thompson"/>
    <s v="Valarie"/>
    <s v="Medium"/>
  </r>
  <r>
    <n v="10241"/>
    <n v="21"/>
    <n v="100"/>
    <n v="11"/>
    <n v="2508.66"/>
    <x v="156"/>
    <x v="8"/>
    <s v="Shipped"/>
    <n v="2"/>
    <n v="4"/>
    <n v="2004"/>
    <x v="1"/>
    <n v="124"/>
    <s v="S18_1589"/>
    <s v="Mini Caravy"/>
    <s v="88.60.1555"/>
    <s v="24, place Kluber"/>
    <s v="N/A"/>
    <s v="Strasbourg"/>
    <s v="N/A"/>
    <n v="67000"/>
    <x v="1"/>
    <s v="EMEA"/>
    <s v="Citeaux"/>
    <s v="Frederique"/>
    <s v="Small"/>
  </r>
  <r>
    <n v="10288"/>
    <n v="20"/>
    <n v="100"/>
    <n v="14"/>
    <n v="2936.8"/>
    <x v="182"/>
    <x v="10"/>
    <s v="Shipped"/>
    <n v="3"/>
    <n v="9"/>
    <n v="2004"/>
    <x v="1"/>
    <n v="124"/>
    <s v="S18_1589"/>
    <s v="Handji Gifts&amp; Co"/>
    <s v="+65 224 1555"/>
    <s v="Village Close - 106 Linden Road Sandown"/>
    <s v="2nd Floor"/>
    <s v="Singapore"/>
    <s v="N/A"/>
    <n v="69045"/>
    <x v="9"/>
    <s v="APAC"/>
    <s v="Victorino"/>
    <s v="Wendy"/>
    <s v="Small"/>
  </r>
  <r>
    <n v="10311"/>
    <n v="29"/>
    <n v="100"/>
    <n v="9"/>
    <n v="2923.2"/>
    <x v="113"/>
    <x v="4"/>
    <s v="Shipped"/>
    <n v="4"/>
    <n v="10"/>
    <n v="2004"/>
    <x v="1"/>
    <n v="124"/>
    <s v="S18_1589"/>
    <s v="Euro Shopping Channel"/>
    <s v="(91) 555 94 44"/>
    <s v="C/ Moralzarzal, 86"/>
    <s v="N/A"/>
    <s v="Madrid"/>
    <s v="N/A"/>
    <n v="28034"/>
    <x v="7"/>
    <s v="EMEA"/>
    <s v="Freyre"/>
    <s v="Diego"/>
    <s v="Small"/>
  </r>
  <r>
    <n v="10343"/>
    <n v="36"/>
    <n v="100"/>
    <n v="4"/>
    <n v="5848.92"/>
    <x v="20"/>
    <x v="5"/>
    <s v="Shipped"/>
    <n v="4"/>
    <n v="11"/>
    <n v="2004"/>
    <x v="1"/>
    <n v="124"/>
    <s v="S18_1589"/>
    <s v="Reims Collectables"/>
    <s v="26.47.1555"/>
    <s v="59 rue de l'Abbaye"/>
    <s v="N/A"/>
    <s v="Reims"/>
    <s v="N/A"/>
    <n v="51100"/>
    <x v="1"/>
    <s v="EMEA"/>
    <s v="Henriot"/>
    <s v="Paul"/>
    <s v="Medium"/>
  </r>
  <r>
    <n v="10367"/>
    <n v="49"/>
    <n v="56.3"/>
    <n v="1"/>
    <n v="2758.7"/>
    <x v="183"/>
    <x v="7"/>
    <s v="Resolved"/>
    <n v="1"/>
    <n v="1"/>
    <n v="2005"/>
    <x v="1"/>
    <n v="124"/>
    <s v="S18_1589"/>
    <s v="Toys4GrownUps.com"/>
    <n v="6265557265"/>
    <s v="78934 Hillside Dr."/>
    <s v="N/A"/>
    <s v="Pasadena"/>
    <s v="CA"/>
    <n v="90003"/>
    <x v="0"/>
    <s v="NA"/>
    <s v="Young"/>
    <s v="Julie"/>
    <s v="Small"/>
  </r>
  <r>
    <n v="10378"/>
    <n v="34"/>
    <n v="42.64"/>
    <n v="5"/>
    <n v="1449.76"/>
    <x v="184"/>
    <x v="0"/>
    <s v="Shipped"/>
    <n v="1"/>
    <n v="2"/>
    <n v="2005"/>
    <x v="1"/>
    <n v="124"/>
    <s v="S18_1589"/>
    <s v="Euro Shopping Channel"/>
    <s v="(91) 555 94 44"/>
    <s v="C/ Moralzarzal, 86"/>
    <s v="N/A"/>
    <s v="Madrid"/>
    <s v="N/A"/>
    <n v="28034"/>
    <x v="7"/>
    <s v="EMEA"/>
    <s v="Freyre"/>
    <s v="Diego"/>
    <s v="Small"/>
  </r>
  <r>
    <n v="10407"/>
    <n v="59"/>
    <n v="100"/>
    <n v="11"/>
    <n v="7048.14"/>
    <x v="185"/>
    <x v="8"/>
    <s v="On Hold"/>
    <n v="2"/>
    <n v="4"/>
    <n v="2005"/>
    <x v="1"/>
    <n v="124"/>
    <s v="S18_1589"/>
    <s v="The Sharp Gifts Warehouse"/>
    <n v="4085553659"/>
    <s v="3086 Ingle Ln."/>
    <s v="N/A"/>
    <s v="San Jose"/>
    <s v="CA"/>
    <n v="94217"/>
    <x v="0"/>
    <s v="NA"/>
    <s v="Frick"/>
    <s v="Sue"/>
    <s v="Large"/>
  </r>
  <r>
    <n v="10106"/>
    <n v="36"/>
    <n v="100"/>
    <n v="12"/>
    <n v="5279.4"/>
    <x v="186"/>
    <x v="0"/>
    <s v="Shipped"/>
    <n v="1"/>
    <n v="2"/>
    <n v="2003"/>
    <x v="4"/>
    <n v="157"/>
    <s v="S18_1662"/>
    <s v="Rovelli Gifts"/>
    <s v="035-640555"/>
    <s v="Via Ludovico il Moro 22"/>
    <s v="N/A"/>
    <s v="Bergamo"/>
    <s v="N/A"/>
    <n v="24100"/>
    <x v="12"/>
    <s v="EMEA"/>
    <s v="Rovelli"/>
    <s v="Giovanni"/>
    <s v="Medium"/>
  </r>
  <r>
    <n v="10131"/>
    <n v="21"/>
    <n v="100"/>
    <n v="4"/>
    <n v="2781.66"/>
    <x v="187"/>
    <x v="9"/>
    <s v="Shipped"/>
    <n v="2"/>
    <n v="6"/>
    <n v="2003"/>
    <x v="4"/>
    <n v="157"/>
    <s v="S18_1662"/>
    <s v="Gift Ideas Corp."/>
    <n v="2035554407"/>
    <s v="2440 Pompton St."/>
    <s v="N/A"/>
    <s v="Glendale"/>
    <s v="CT"/>
    <n v="97561"/>
    <x v="0"/>
    <s v="NA"/>
    <s v="Lewis"/>
    <s v="Dan"/>
    <s v="Small"/>
  </r>
  <r>
    <n v="10198"/>
    <n v="42"/>
    <n v="100"/>
    <n v="4"/>
    <n v="7483.98"/>
    <x v="188"/>
    <x v="5"/>
    <s v="Shipped"/>
    <n v="4"/>
    <n v="11"/>
    <n v="2003"/>
    <x v="4"/>
    <n v="157"/>
    <s v="S18_1662"/>
    <s v="Cruz &amp; Sons Co."/>
    <s v="+63 2 555 3587"/>
    <s v="15 McCallum Street - NatWest Center #13-03"/>
    <s v="N/A"/>
    <s v="Makati City"/>
    <s v="N/A"/>
    <s v="1227 MM"/>
    <x v="15"/>
    <s v="Japan"/>
    <s v="Cruz"/>
    <s v="Arnold"/>
    <s v="Large"/>
  </r>
  <r>
    <n v="10250"/>
    <n v="45"/>
    <n v="100"/>
    <n v="14"/>
    <n v="8160.3"/>
    <x v="189"/>
    <x v="1"/>
    <s v="Shipped"/>
    <n v="2"/>
    <n v="5"/>
    <n v="2004"/>
    <x v="4"/>
    <n v="157"/>
    <s v="S18_1662"/>
    <s v="The Sharp Gifts Warehouse"/>
    <n v="4085553659"/>
    <s v="3086 Ingle Ln."/>
    <s v="N/A"/>
    <s v="San Jose"/>
    <s v="CA"/>
    <n v="94217"/>
    <x v="0"/>
    <s v="NA"/>
    <s v="Frick"/>
    <s v="Sue"/>
    <s v="Large"/>
  </r>
  <r>
    <n v="10262"/>
    <n v="49"/>
    <n v="100"/>
    <n v="9"/>
    <n v="6567.96"/>
    <x v="190"/>
    <x v="9"/>
    <s v="Cancelled"/>
    <n v="2"/>
    <n v="6"/>
    <n v="2004"/>
    <x v="4"/>
    <n v="157"/>
    <s v="S18_1662"/>
    <s v="Euro Shopping Channel"/>
    <s v="(91) 555 94 44"/>
    <s v="C/ Moralzarzal, 86"/>
    <s v="N/A"/>
    <s v="Madrid"/>
    <s v="N/A"/>
    <n v="28034"/>
    <x v="7"/>
    <s v="EMEA"/>
    <s v="Freyre"/>
    <s v="Diego"/>
    <s v="Medium"/>
  </r>
  <r>
    <n v="10274"/>
    <n v="41"/>
    <n v="100"/>
    <n v="1"/>
    <n v="6724"/>
    <x v="75"/>
    <x v="2"/>
    <s v="Shipped"/>
    <n v="3"/>
    <n v="7"/>
    <n v="2004"/>
    <x v="4"/>
    <n v="157"/>
    <s v="S18_1662"/>
    <s v="Collectables For Less Inc."/>
    <n v="6175558555"/>
    <s v="7825 Douglas Av."/>
    <s v="N/A"/>
    <s v="Brickhaven"/>
    <s v="MA"/>
    <n v="58339"/>
    <x v="0"/>
    <s v="NA"/>
    <s v="Nelson"/>
    <s v="Allen"/>
    <s v="Medium"/>
  </r>
  <r>
    <n v="10284"/>
    <n v="45"/>
    <n v="100"/>
    <n v="11"/>
    <n v="5747.85"/>
    <x v="191"/>
    <x v="3"/>
    <s v="Shipped"/>
    <n v="3"/>
    <n v="8"/>
    <n v="2004"/>
    <x v="4"/>
    <n v="157"/>
    <s v="S18_1662"/>
    <s v="Norway Gifts By Mail, Co."/>
    <s v="+47 2212 1555"/>
    <s v="Drammensveien 126 A, PB 744 Sentrum"/>
    <s v="N/A"/>
    <s v="Oslo"/>
    <s v="N/A"/>
    <s v="N 0106"/>
    <x v="2"/>
    <s v="EMEA"/>
    <s v="Klaeboe"/>
    <s v="Jan"/>
    <s v="Medium"/>
  </r>
  <r>
    <n v="10296"/>
    <n v="36"/>
    <n v="100"/>
    <n v="7"/>
    <n v="5676.84"/>
    <x v="192"/>
    <x v="10"/>
    <s v="Shipped"/>
    <n v="3"/>
    <n v="9"/>
    <n v="2004"/>
    <x v="4"/>
    <n v="157"/>
    <s v="S18_1662"/>
    <s v="Bavarian Collectables Imports, Co."/>
    <s v="+49 89 61 08 9555"/>
    <s v="Hansastr. 15"/>
    <s v="N/A"/>
    <s v="Munich"/>
    <s v="N/A"/>
    <n v="80686"/>
    <x v="16"/>
    <s v="EMEA"/>
    <s v="Donnermeyer"/>
    <s v="Michael"/>
    <s v="Medium"/>
  </r>
  <r>
    <n v="10327"/>
    <n v="25"/>
    <n v="100"/>
    <n v="6"/>
    <n v="2804.75"/>
    <x v="193"/>
    <x v="5"/>
    <s v="Resolved"/>
    <n v="4"/>
    <n v="11"/>
    <n v="2004"/>
    <x v="4"/>
    <n v="157"/>
    <s v="S18_1662"/>
    <s v="Danish Wholesale Imports"/>
    <s v="31 12 3555"/>
    <s v="Vinb'ltet 34"/>
    <s v="N/A"/>
    <s v="Kobenhavn"/>
    <s v="N/A"/>
    <n v="1734"/>
    <x v="13"/>
    <s v="EMEA"/>
    <s v="Petersen"/>
    <s v="Jytte"/>
    <s v="Small"/>
  </r>
  <r>
    <n v="10338"/>
    <n v="41"/>
    <n v="100"/>
    <n v="1"/>
    <n v="5624.79"/>
    <x v="194"/>
    <x v="5"/>
    <s v="Shipped"/>
    <n v="4"/>
    <n v="11"/>
    <n v="2004"/>
    <x v="4"/>
    <n v="157"/>
    <s v="S18_1662"/>
    <s v="Royale Belge"/>
    <s v="(071) 23 67 2555"/>
    <s v="Boulevard Tirou, 255"/>
    <s v="N/A"/>
    <s v="Charleroi"/>
    <s v="N/A"/>
    <s v="B-6000"/>
    <x v="14"/>
    <s v="EMEA"/>
    <s v="Cartrain"/>
    <s v="Pascale"/>
    <s v="Medium"/>
  </r>
  <r>
    <n v="10351"/>
    <n v="39"/>
    <n v="99.52"/>
    <n v="1"/>
    <n v="3881.28"/>
    <x v="195"/>
    <x v="6"/>
    <s v="Shipped"/>
    <n v="4"/>
    <n v="12"/>
    <n v="2004"/>
    <x v="4"/>
    <n v="157"/>
    <s v="S18_1662"/>
    <s v="Stylish Desk Decors, Co."/>
    <s v="(171) 555-0297"/>
    <s v="35 King George"/>
    <s v="N/A"/>
    <s v="London"/>
    <s v="N/A"/>
    <s v="WX3 6FW"/>
    <x v="6"/>
    <s v="EMEA"/>
    <s v="Brown"/>
    <s v="Ann"/>
    <s v="Medium"/>
  </r>
  <r>
    <n v="10386"/>
    <n v="25"/>
    <n v="54.57"/>
    <n v="7"/>
    <n v="1364.25"/>
    <x v="196"/>
    <x v="11"/>
    <s v="Resolved"/>
    <n v="1"/>
    <n v="3"/>
    <n v="2005"/>
    <x v="4"/>
    <n v="157"/>
    <s v="S18_1662"/>
    <s v="Euro Shopping Channel"/>
    <s v="(91) 555 94 44"/>
    <s v="C/ Moralzarzal, 86"/>
    <s v="N/A"/>
    <s v="Madrid"/>
    <s v="N/A"/>
    <n v="28034"/>
    <x v="7"/>
    <s v="EMEA"/>
    <s v="Freyre"/>
    <s v="Diego"/>
    <s v="Small"/>
  </r>
  <r>
    <n v="10398"/>
    <n v="33"/>
    <n v="100"/>
    <n v="11"/>
    <n v="4215.09"/>
    <x v="197"/>
    <x v="11"/>
    <s v="Shipped"/>
    <n v="1"/>
    <n v="3"/>
    <n v="2005"/>
    <x v="4"/>
    <n v="157"/>
    <s v="S18_1662"/>
    <s v="Reims Collectables"/>
    <s v="26.47.1555"/>
    <s v="59 rue de l'Abbaye"/>
    <s v="N/A"/>
    <s v="Reims"/>
    <s v="N/A"/>
    <n v="51100"/>
    <x v="1"/>
    <s v="EMEA"/>
    <s v="Henriot"/>
    <s v="Paul"/>
    <s v="Medium"/>
  </r>
  <r>
    <n v="10416"/>
    <n v="24"/>
    <n v="100"/>
    <n v="14"/>
    <n v="4352.16"/>
    <x v="198"/>
    <x v="1"/>
    <s v="Shipped"/>
    <n v="2"/>
    <n v="5"/>
    <n v="2005"/>
    <x v="4"/>
    <n v="157"/>
    <s v="S18_1662"/>
    <s v="L'ordine Souveniers"/>
    <s v="0522-556555"/>
    <s v="Strada Provinciale 124"/>
    <s v="N/A"/>
    <s v="Reggio Emilia"/>
    <s v="N/A"/>
    <n v="42100"/>
    <x v="12"/>
    <s v="EMEA"/>
    <s v="Moroni"/>
    <s v="Maurizio"/>
    <s v="Medium"/>
  </r>
  <r>
    <n v="10100"/>
    <n v="30"/>
    <n v="100"/>
    <n v="3"/>
    <n v="5151"/>
    <x v="199"/>
    <x v="7"/>
    <s v="Shipped"/>
    <n v="1"/>
    <n v="1"/>
    <n v="2003"/>
    <x v="3"/>
    <n v="170"/>
    <s v="S18_1749"/>
    <s v="Online Diecast Creations Co."/>
    <n v="6035558647"/>
    <s v="2304 Long Airport Avenue"/>
    <s v="N/A"/>
    <s v="Nashua"/>
    <s v="NH"/>
    <n v="62005"/>
    <x v="0"/>
    <s v="NA"/>
    <s v="Young"/>
    <s v="Valarie"/>
    <s v="Medium"/>
  </r>
  <r>
    <n v="10124"/>
    <n v="21"/>
    <n v="100"/>
    <n v="6"/>
    <n v="2856"/>
    <x v="166"/>
    <x v="1"/>
    <s v="Shipped"/>
    <n v="2"/>
    <n v="5"/>
    <n v="2003"/>
    <x v="3"/>
    <n v="170"/>
    <s v="S18_1749"/>
    <s v="Signal Gift Stores"/>
    <n v="7025551838"/>
    <s v="8489 Strong St."/>
    <s v="N/A"/>
    <s v="Las Vegas"/>
    <s v="NV"/>
    <n v="83030"/>
    <x v="0"/>
    <s v="NA"/>
    <s v="King"/>
    <s v="Sue"/>
    <s v="Small"/>
  </r>
  <r>
    <n v="10214"/>
    <n v="30"/>
    <n v="100"/>
    <n v="7"/>
    <n v="5967"/>
    <x v="200"/>
    <x v="7"/>
    <s v="Shipped"/>
    <n v="1"/>
    <n v="1"/>
    <n v="2004"/>
    <x v="3"/>
    <n v="170"/>
    <s v="S18_1749"/>
    <s v="Corrida Auto Replicas, Ltd"/>
    <s v="(91) 555 22 82"/>
    <s v="C/ Araquil, 67"/>
    <s v="N/A"/>
    <s v="Madrid"/>
    <s v="N/A"/>
    <n v="28023"/>
    <x v="7"/>
    <s v="EMEA"/>
    <s v="Sommer"/>
    <s v="Mart¡n"/>
    <s v="Medium"/>
  </r>
  <r>
    <n v="10302"/>
    <n v="43"/>
    <n v="100"/>
    <n v="1"/>
    <n v="7310"/>
    <x v="66"/>
    <x v="4"/>
    <s v="Shipped"/>
    <n v="4"/>
    <n v="10"/>
    <n v="2003"/>
    <x v="3"/>
    <n v="170"/>
    <s v="S18_1749"/>
    <s v="UK Collectables, Ltd."/>
    <s v="(171) 555-2282"/>
    <s v="Berkeley Gardens 12  Brewery"/>
    <s v="N/A"/>
    <s v="Liverpool"/>
    <s v="N/A"/>
    <s v="WX1 6LT"/>
    <x v="6"/>
    <s v="EMEA"/>
    <s v="Devon"/>
    <s v="Elizabeth"/>
    <s v="Large"/>
  </r>
  <r>
    <n v="10344"/>
    <n v="45"/>
    <n v="100"/>
    <n v="1"/>
    <n v="7650"/>
    <x v="201"/>
    <x v="5"/>
    <s v="Shipped"/>
    <n v="4"/>
    <n v="11"/>
    <n v="2004"/>
    <x v="3"/>
    <n v="170"/>
    <s v="S18_1749"/>
    <s v="Marseille Mini Autos"/>
    <s v="91.24.4555"/>
    <s v="12, rue des Bouchers"/>
    <s v="N/A"/>
    <s v="Marseille"/>
    <s v="N/A"/>
    <n v="13008"/>
    <x v="1"/>
    <s v="EMEA"/>
    <s v="Lebihan"/>
    <s v="Laurence"/>
    <s v="Large"/>
  </r>
  <r>
    <n v="10379"/>
    <n v="39"/>
    <n v="100"/>
    <n v="2"/>
    <n v="5399.55"/>
    <x v="184"/>
    <x v="0"/>
    <s v="Shipped"/>
    <n v="1"/>
    <n v="2"/>
    <n v="2005"/>
    <x v="3"/>
    <n v="170"/>
    <s v="S18_1749"/>
    <s v="Euro Shopping Channel"/>
    <s v="(91) 555 94 44"/>
    <s v="C/ Moralzarzal, 86"/>
    <s v="N/A"/>
    <s v="Madrid"/>
    <s v="N/A"/>
    <n v="28034"/>
    <x v="7"/>
    <s v="EMEA"/>
    <s v="Freyre"/>
    <s v="Diego"/>
    <s v="Medium"/>
  </r>
  <r>
    <n v="10420"/>
    <n v="37"/>
    <n v="100"/>
    <n v="5"/>
    <n v="5283.6"/>
    <x v="202"/>
    <x v="1"/>
    <s v="In Process"/>
    <n v="2"/>
    <n v="5"/>
    <n v="2005"/>
    <x v="3"/>
    <n v="170"/>
    <s v="S18_1749"/>
    <s v="Souveniers And Things Co."/>
    <s v="+61 2 9495 8555"/>
    <s v="Monitor Money Building, 815 Pacific Hwy"/>
    <s v="Level 6"/>
    <s v="Chatswood"/>
    <s v="NSW"/>
    <n v="2067"/>
    <x v="3"/>
    <s v="APAC"/>
    <s v="Huxley"/>
    <s v="Adrian"/>
    <s v="Medium"/>
  </r>
  <r>
    <n v="10366"/>
    <n v="34"/>
    <n v="100"/>
    <n v="3"/>
    <n v="4207.84"/>
    <x v="203"/>
    <x v="7"/>
    <s v="Shipped"/>
    <n v="1"/>
    <n v="1"/>
    <n v="2005"/>
    <x v="1"/>
    <n v="142"/>
    <s v="S18_1984"/>
    <s v="Royale Belge"/>
    <s v="(071) 23 67 2555"/>
    <s v="Boulevard Tirou, 255"/>
    <s v="N/A"/>
    <s v="Charleroi"/>
    <s v="N/A"/>
    <s v="B-6000"/>
    <x v="14"/>
    <s v="EMEA"/>
    <s v="Cartrain"/>
    <s v="Pascale"/>
    <s v="Medium"/>
  </r>
  <r>
    <n v="10303"/>
    <n v="46"/>
    <n v="49.04"/>
    <n v="2"/>
    <n v="2255.84"/>
    <x v="204"/>
    <x v="4"/>
    <s v="Shipped"/>
    <n v="4"/>
    <n v="10"/>
    <n v="2004"/>
    <x v="3"/>
    <n v="60"/>
    <s v="S18_2248"/>
    <s v="Iberia Gift Imports, Corp."/>
    <s v="(95) 555 82 82"/>
    <s v="C/ Romero, 33"/>
    <s v="N/A"/>
    <s v="Sevilla"/>
    <s v="N/A"/>
    <n v="41101"/>
    <x v="7"/>
    <s v="EMEA"/>
    <s v="Roel"/>
    <s v="Jose Pedro"/>
    <s v="Small"/>
  </r>
  <r>
    <n v="10383"/>
    <n v="27"/>
    <n v="100"/>
    <n v="11"/>
    <n v="3843.99"/>
    <x v="205"/>
    <x v="0"/>
    <s v="Shipped"/>
    <n v="1"/>
    <n v="2"/>
    <n v="2005"/>
    <x v="2"/>
    <n v="122"/>
    <s v="S18_2319"/>
    <s v="Euro Shopping Channel"/>
    <s v="(91) 555 94 44"/>
    <s v="C/ Moralzarzal, 86"/>
    <s v="N/A"/>
    <s v="Madrid"/>
    <s v="N/A"/>
    <n v="28034"/>
    <x v="7"/>
    <s v="EMEA"/>
    <s v="Freyre"/>
    <s v="Diego"/>
    <s v="Medium"/>
  </r>
  <r>
    <n v="10101"/>
    <n v="25"/>
    <n v="100"/>
    <n v="4"/>
    <n v="3782"/>
    <x v="206"/>
    <x v="7"/>
    <s v="Shipped"/>
    <n v="1"/>
    <n v="1"/>
    <n v="2003"/>
    <x v="3"/>
    <n v="127"/>
    <s v="S18_2325"/>
    <s v="Blauer See Auto, Co."/>
    <s v="+49 69 66 90 2555"/>
    <s v="Lyonerstr. 34"/>
    <s v="N/A"/>
    <s v="Frankfurt"/>
    <s v="N/A"/>
    <n v="60528"/>
    <x v="16"/>
    <s v="EMEA"/>
    <s v="Keitel"/>
    <s v="Roland"/>
    <s v="Medium"/>
  </r>
  <r>
    <n v="10243"/>
    <n v="47"/>
    <n v="100"/>
    <n v="2"/>
    <n v="6154.18"/>
    <x v="207"/>
    <x v="8"/>
    <s v="Shipped"/>
    <n v="2"/>
    <n v="4"/>
    <n v="2004"/>
    <x v="3"/>
    <n v="127"/>
    <s v="S18_2325"/>
    <s v="Diecast Collectables"/>
    <n v="6175552555"/>
    <s v="6251 Ingle Ln."/>
    <s v="N/A"/>
    <s v="Boston"/>
    <s v="MA"/>
    <n v="51003"/>
    <x v="0"/>
    <s v="NA"/>
    <s v="Franco"/>
    <s v="Valarie"/>
    <s v="Medium"/>
  </r>
  <r>
    <n v="10409"/>
    <n v="6"/>
    <n v="100"/>
    <n v="2"/>
    <n v="785.64"/>
    <x v="208"/>
    <x v="8"/>
    <s v="Shipped"/>
    <n v="2"/>
    <n v="4"/>
    <n v="2005"/>
    <x v="3"/>
    <n v="127"/>
    <s v="S18_2325"/>
    <s v="Handji Gifts&amp; Co"/>
    <s v="+65 224 1555"/>
    <s v="Village Close - 106 Linden Road Sandown"/>
    <s v="2nd Floor"/>
    <s v="Singapore"/>
    <s v="N/A"/>
    <n v="69045"/>
    <x v="9"/>
    <s v="APAC"/>
    <s v="Victorino"/>
    <s v="Wendy"/>
    <s v="Small"/>
  </r>
  <r>
    <n v="10133"/>
    <n v="49"/>
    <n v="69.27"/>
    <n v="3"/>
    <n v="3394.23"/>
    <x v="209"/>
    <x v="9"/>
    <s v="Shipped"/>
    <n v="2"/>
    <n v="6"/>
    <n v="2003"/>
    <x v="4"/>
    <n v="84"/>
    <s v="S18_2581"/>
    <s v="Euro Shopping Channel"/>
    <s v="(91) 555 94 44"/>
    <s v="C/ Moralzarzal, 86"/>
    <s v="N/A"/>
    <s v="Madrid"/>
    <s v="N/A"/>
    <n v="28034"/>
    <x v="7"/>
    <s v="EMEA"/>
    <s v="Freyre"/>
    <s v="Diego"/>
    <s v="Medium"/>
  </r>
  <r>
    <n v="10235"/>
    <n v="24"/>
    <n v="76.03"/>
    <n v="3"/>
    <n v="1824.72"/>
    <x v="210"/>
    <x v="8"/>
    <s v="Shipped"/>
    <n v="2"/>
    <n v="4"/>
    <n v="2004"/>
    <x v="4"/>
    <n v="84"/>
    <s v="S18_2581"/>
    <s v="Royal Canadian Collectables, Ltd."/>
    <s v="(604) 555-4555"/>
    <s v="23 Tsawassen Blvd."/>
    <s v="N/A"/>
    <s v="Tsawassen"/>
    <s v="BC"/>
    <s v="T2F 8M4"/>
    <x v="10"/>
    <s v="NA"/>
    <s v="Lincoln"/>
    <s v="Elizabeth"/>
    <s v="Small"/>
  </r>
  <r>
    <n v="10297"/>
    <n v="25"/>
    <n v="82.79"/>
    <n v="4"/>
    <n v="2069.75"/>
    <x v="211"/>
    <x v="10"/>
    <s v="Shipped"/>
    <n v="3"/>
    <n v="9"/>
    <n v="2004"/>
    <x v="4"/>
    <n v="84"/>
    <s v="S18_2581"/>
    <s v="Clover Collections, Co."/>
    <s v="+353 1862 1555"/>
    <s v="25 Maiden Lane"/>
    <s v="Floor No. 4"/>
    <s v="Dublin"/>
    <s v="N/A"/>
    <n v="2"/>
    <x v="18"/>
    <s v="EMEA"/>
    <s v="Cassidy"/>
    <s v="Dean"/>
    <s v="Small"/>
  </r>
  <r>
    <n v="10353"/>
    <n v="27"/>
    <n v="100"/>
    <n v="1"/>
    <n v="3515.67"/>
    <x v="212"/>
    <x v="6"/>
    <s v="Shipped"/>
    <n v="4"/>
    <n v="12"/>
    <n v="2004"/>
    <x v="4"/>
    <n v="84"/>
    <s v="S18_2581"/>
    <s v="Gift Ideas Corp."/>
    <n v="2035554407"/>
    <s v="2440 Pompton St."/>
    <s v="N/A"/>
    <s v="Glendale"/>
    <s v="CT"/>
    <n v="97561"/>
    <x v="0"/>
    <s v="NA"/>
    <s v="Lewis"/>
    <s v="Dan"/>
    <s v="Medium"/>
  </r>
  <r>
    <n v="10401"/>
    <n v="42"/>
    <n v="76.03"/>
    <n v="3"/>
    <n v="3193.26"/>
    <x v="213"/>
    <x v="8"/>
    <s v="On Hold"/>
    <n v="2"/>
    <n v="4"/>
    <n v="2005"/>
    <x v="4"/>
    <n v="84"/>
    <s v="S18_2581"/>
    <s v="Tekni Collectables Inc."/>
    <n v="2015559350"/>
    <s v="7476 Moss Rd."/>
    <s v="N/A"/>
    <s v="Newark"/>
    <s v="NJ"/>
    <n v="94019"/>
    <x v="0"/>
    <s v="NA"/>
    <s v="Brown"/>
    <s v="William"/>
    <s v="Medium"/>
  </r>
  <r>
    <n v="10255"/>
    <n v="24"/>
    <n v="100"/>
    <n v="1"/>
    <n v="3726"/>
    <x v="214"/>
    <x v="9"/>
    <s v="Shipped"/>
    <n v="2"/>
    <n v="6"/>
    <n v="2004"/>
    <x v="3"/>
    <n v="168"/>
    <s v="S18_2795"/>
    <s v="Mini Caravy"/>
    <s v="88.60.1555"/>
    <s v="24, place Kluber"/>
    <s v="N/A"/>
    <s v="Strasbourg"/>
    <s v="N/A"/>
    <n v="67000"/>
    <x v="1"/>
    <s v="EMEA"/>
    <s v="Citeaux"/>
    <s v="Frederique"/>
    <s v="Medium"/>
  </r>
  <r>
    <n v="10421"/>
    <n v="35"/>
    <n v="100"/>
    <n v="1"/>
    <n v="5433.75"/>
    <x v="202"/>
    <x v="1"/>
    <s v="In Process"/>
    <n v="2"/>
    <n v="5"/>
    <n v="2005"/>
    <x v="3"/>
    <n v="168"/>
    <s v="S18_2795"/>
    <s v="Mini Gifts Distributors Ltd."/>
    <n v="4155551450"/>
    <s v="5677 Strong St."/>
    <s v="N/A"/>
    <s v="San Rafael"/>
    <s v="CA"/>
    <n v="97562"/>
    <x v="0"/>
    <s v="NA"/>
    <s v="Nelson"/>
    <s v="Valarie"/>
    <s v="Medium"/>
  </r>
  <r>
    <n v="10257"/>
    <n v="50"/>
    <n v="88.14"/>
    <n v="1"/>
    <n v="4407"/>
    <x v="215"/>
    <x v="9"/>
    <s v="Shipped"/>
    <n v="2"/>
    <n v="6"/>
    <n v="2004"/>
    <x v="3"/>
    <n v="101"/>
    <s v="S18_2949"/>
    <s v="The Sharp Gifts Warehouse"/>
    <n v="4085553659"/>
    <s v="3086 Ingle Ln."/>
    <s v="N/A"/>
    <s v="San Jose"/>
    <s v="CA"/>
    <n v="94217"/>
    <x v="0"/>
    <s v="NA"/>
    <s v="Frick"/>
    <s v="Sue"/>
    <s v="Medium"/>
  </r>
  <r>
    <n v="10423"/>
    <n v="10"/>
    <n v="88.14"/>
    <n v="1"/>
    <n v="881.4"/>
    <x v="177"/>
    <x v="1"/>
    <s v="In Process"/>
    <n v="2"/>
    <n v="5"/>
    <n v="2005"/>
    <x v="3"/>
    <n v="101"/>
    <s v="S18_2949"/>
    <s v="Petit Auto"/>
    <s v="(02) 5554 67"/>
    <s v="Rue Joseph-Bens 532"/>
    <s v="N/A"/>
    <s v="Bruxelles"/>
    <s v="N/A"/>
    <s v="B-1180"/>
    <x v="14"/>
    <s v="EMEA"/>
    <s v="Dewey"/>
    <s v="Catherine"/>
    <s v="Small"/>
  </r>
  <r>
    <n v="10269"/>
    <n v="32"/>
    <n v="63.08"/>
    <n v="1"/>
    <n v="2018.56"/>
    <x v="216"/>
    <x v="2"/>
    <s v="Shipped"/>
    <n v="3"/>
    <n v="7"/>
    <n v="2004"/>
    <x v="3"/>
    <n v="62"/>
    <s v="S18_2957"/>
    <s v="Salzburg Collectables"/>
    <s v="6562-9555"/>
    <s v="Geislweg 14"/>
    <s v="N/A"/>
    <s v="Salzburg"/>
    <s v="N/A"/>
    <n v="5020"/>
    <x v="5"/>
    <s v="EMEA"/>
    <s v="Pipps"/>
    <s v="Georg"/>
    <s v="Small"/>
  </r>
  <r>
    <n v="10392"/>
    <n v="37"/>
    <n v="59.96"/>
    <n v="3"/>
    <n v="2218.52"/>
    <x v="217"/>
    <x v="11"/>
    <s v="Shipped"/>
    <n v="1"/>
    <n v="3"/>
    <n v="2005"/>
    <x v="3"/>
    <n v="62"/>
    <s v="S18_2957"/>
    <s v="Mini Auto Werke"/>
    <s v="7675-3555"/>
    <s v="Kirchgasse 6"/>
    <s v="N/A"/>
    <s v="Graz"/>
    <s v="N/A"/>
    <n v="8010"/>
    <x v="5"/>
    <s v="EMEA"/>
    <s v="Mendel"/>
    <s v="Roland"/>
    <s v="Small"/>
  </r>
  <r>
    <n v="10130"/>
    <n v="40"/>
    <n v="96.34"/>
    <n v="2"/>
    <n v="3853.6"/>
    <x v="187"/>
    <x v="9"/>
    <s v="Shipped"/>
    <n v="2"/>
    <n v="6"/>
    <n v="2003"/>
    <x v="5"/>
    <n v="86"/>
    <s v="S18_3029"/>
    <s v="Auto-Moto Classics Inc."/>
    <n v="6175558428"/>
    <s v="16780 Pompton St."/>
    <s v="N/A"/>
    <s v="Brickhaven"/>
    <s v="MA"/>
    <n v="58339"/>
    <x v="0"/>
    <s v="NA"/>
    <s v="Taylor"/>
    <s v="Leslie"/>
    <s v="Medium"/>
  </r>
  <r>
    <n v="10128"/>
    <n v="41"/>
    <n v="100"/>
    <n v="2"/>
    <n v="5544.02"/>
    <x v="218"/>
    <x v="9"/>
    <s v="Shipped"/>
    <n v="2"/>
    <n v="6"/>
    <n v="2003"/>
    <x v="3"/>
    <n v="136"/>
    <s v="S18_3140"/>
    <s v="Euro Shopping Channel"/>
    <s v="(91) 555 94 44"/>
    <s v="C/ Moralzarzal, 86"/>
    <s v="N/A"/>
    <s v="Madrid"/>
    <s v="N/A"/>
    <n v="28034"/>
    <x v="7"/>
    <s v="EMEA"/>
    <s v="Freyre"/>
    <s v="Diego"/>
    <s v="Medium"/>
  </r>
  <r>
    <n v="10166"/>
    <n v="43"/>
    <n v="100"/>
    <n v="2"/>
    <n v="6930.74"/>
    <x v="90"/>
    <x v="4"/>
    <s v="Shipped"/>
    <n v="4"/>
    <n v="10"/>
    <n v="2003"/>
    <x v="3"/>
    <n v="136"/>
    <s v="S18_3140"/>
    <s v="FunGiftIdeas.com"/>
    <n v="5085552555"/>
    <s v="1785 First Street"/>
    <s v="N/A"/>
    <s v="New Bedford"/>
    <s v="MA"/>
    <n v="50553"/>
    <x v="0"/>
    <s v="NA"/>
    <s v="Benitez"/>
    <s v="Violeta"/>
    <s v="Medium"/>
  </r>
  <r>
    <n v="10177"/>
    <n v="23"/>
    <n v="100"/>
    <n v="9"/>
    <n v="3675.63"/>
    <x v="219"/>
    <x v="5"/>
    <s v="Shipped"/>
    <n v="4"/>
    <n v="11"/>
    <n v="2003"/>
    <x v="3"/>
    <n v="136"/>
    <s v="S18_3140"/>
    <s v="CAF Imports"/>
    <s v="+34 913 728 555"/>
    <s v="Merchants House, 27-30 Merchant's Quay"/>
    <s v="N/A"/>
    <s v="Madrid"/>
    <s v="N/A"/>
    <n v="28023"/>
    <x v="7"/>
    <s v="EMEA"/>
    <s v="Fernandez"/>
    <s v="Jesus"/>
    <s v="Medium"/>
  </r>
  <r>
    <n v="10221"/>
    <n v="33"/>
    <n v="100"/>
    <n v="3"/>
    <n v="4417.38"/>
    <x v="220"/>
    <x v="0"/>
    <s v="Shipped"/>
    <n v="1"/>
    <n v="2"/>
    <n v="2004"/>
    <x v="3"/>
    <n v="136"/>
    <s v="S18_3140"/>
    <s v="Petit Auto"/>
    <s v="(02) 5554 67"/>
    <s v="Rue Joseph-Bens 532"/>
    <s v="N/A"/>
    <s v="Bruxelles"/>
    <s v="N/A"/>
    <s v="B-1180"/>
    <x v="14"/>
    <s v="EMEA"/>
    <s v="Dewey"/>
    <s v="Catherine"/>
    <s v="Medium"/>
  </r>
  <r>
    <n v="10232"/>
    <n v="22"/>
    <n v="100"/>
    <n v="6"/>
    <n v="3606.02"/>
    <x v="221"/>
    <x v="11"/>
    <s v="Shipped"/>
    <n v="1"/>
    <n v="3"/>
    <n v="2004"/>
    <x v="3"/>
    <n v="136"/>
    <s v="S18_3140"/>
    <s v="giftsbymail.co.uk"/>
    <s v="(198) 555-8888"/>
    <s v="Garden House Crowther Way"/>
    <s v="N/A"/>
    <s v="Cowes"/>
    <s v="Isle of Wight"/>
    <s v="PO31 7PJ"/>
    <x v="6"/>
    <s v="EMEA"/>
    <s v="Bennett"/>
    <s v="Helen"/>
    <s v="Medium"/>
  </r>
  <r>
    <n v="10394"/>
    <n v="22"/>
    <n v="100"/>
    <n v="5"/>
    <n v="3353.02"/>
    <x v="222"/>
    <x v="11"/>
    <s v="Shipped"/>
    <n v="1"/>
    <n v="3"/>
    <n v="2005"/>
    <x v="1"/>
    <n v="169"/>
    <s v="S18_3232"/>
    <s v="Euro Shopping Channel"/>
    <s v="(91) 555 94 44"/>
    <s v="C/ Moralzarzal, 86"/>
    <s v="N/A"/>
    <s v="Madrid"/>
    <s v="N/A"/>
    <n v="28034"/>
    <x v="7"/>
    <s v="EMEA"/>
    <s v="Freyre"/>
    <s v="Diego"/>
    <s v="Medium"/>
  </r>
  <r>
    <n v="10326"/>
    <n v="32"/>
    <n v="100"/>
    <n v="6"/>
    <n v="3807.68"/>
    <x v="223"/>
    <x v="5"/>
    <s v="Shipped"/>
    <n v="4"/>
    <n v="11"/>
    <n v="2004"/>
    <x v="6"/>
    <n v="100"/>
    <s v="S18_3259"/>
    <s v="Volvo Model Replicas, Co"/>
    <s v="0921-12 3555"/>
    <s v="Berguvsv„gen  8"/>
    <s v="N/A"/>
    <s v="Lule"/>
    <s v="N/A"/>
    <s v="S-958 22"/>
    <x v="8"/>
    <s v="EMEA"/>
    <s v="Berglund"/>
    <s v="Christina"/>
    <s v="Medium"/>
  </r>
  <r>
    <n v="10252"/>
    <n v="20"/>
    <n v="76.39"/>
    <n v="2"/>
    <n v="1527.8"/>
    <x v="224"/>
    <x v="1"/>
    <s v="Shipped"/>
    <n v="2"/>
    <n v="5"/>
    <n v="2004"/>
    <x v="1"/>
    <n v="80"/>
    <s v="S18_3278"/>
    <s v="Auto Canal Petit"/>
    <s v="(1) 47.55.6555"/>
    <s v="25, rue Lauriston"/>
    <s v="N/A"/>
    <s v="Paris"/>
    <s v="N/A"/>
    <n v="75016"/>
    <x v="1"/>
    <s v="EMEA"/>
    <s v="Perrier"/>
    <s v="Dominique"/>
    <s v="Small"/>
  </r>
  <r>
    <n v="10265"/>
    <n v="45"/>
    <n v="86.84"/>
    <n v="2"/>
    <n v="3907.8"/>
    <x v="225"/>
    <x v="2"/>
    <s v="Shipped"/>
    <n v="3"/>
    <n v="7"/>
    <n v="2004"/>
    <x v="1"/>
    <n v="80"/>
    <s v="S18_3278"/>
    <s v="Australian Collectables, Ltd"/>
    <s v="61-9-3844-6555"/>
    <s v="7 Allen Street"/>
    <s v="N/A"/>
    <s v="Glen Waverly"/>
    <s v="Victoria"/>
    <n v="3150"/>
    <x v="3"/>
    <s v="APAC"/>
    <s v="Connery"/>
    <s v="Sean"/>
    <s v="Medium"/>
  </r>
  <r>
    <n v="10290"/>
    <n v="26"/>
    <n v="96.23"/>
    <n v="2"/>
    <n v="2501.98"/>
    <x v="226"/>
    <x v="10"/>
    <s v="Shipped"/>
    <n v="3"/>
    <n v="9"/>
    <n v="2004"/>
    <x v="3"/>
    <n v="99"/>
    <s v="S18_3320"/>
    <s v="Auto-Moto Classics Inc."/>
    <n v="6175558428"/>
    <s v="16780 Pompton St."/>
    <s v="N/A"/>
    <s v="Brickhaven"/>
    <s v="MA"/>
    <n v="58339"/>
    <x v="0"/>
    <s v="NA"/>
    <s v="Taylor"/>
    <s v="Leslie"/>
    <s v="Small"/>
  </r>
  <r>
    <n v="10323"/>
    <n v="33"/>
    <n v="91.27"/>
    <n v="2"/>
    <n v="3011.91"/>
    <x v="80"/>
    <x v="5"/>
    <s v="Shipped"/>
    <n v="4"/>
    <n v="11"/>
    <n v="2004"/>
    <x v="3"/>
    <n v="99"/>
    <s v="S18_3320"/>
    <s v="Blauer See Auto, Co."/>
    <s v="+49 69 66 90 2555"/>
    <s v="Lyonerstr. 34"/>
    <s v="N/A"/>
    <s v="Frankfurt"/>
    <s v="N/A"/>
    <n v="60528"/>
    <x v="16"/>
    <s v="EMEA"/>
    <s v="Keitel"/>
    <s v="Roland"/>
    <s v="Medium"/>
  </r>
  <r>
    <n v="10330"/>
    <n v="37"/>
    <n v="100"/>
    <n v="3"/>
    <n v="4405.22"/>
    <x v="227"/>
    <x v="5"/>
    <s v="Shipped"/>
    <n v="4"/>
    <n v="11"/>
    <n v="2004"/>
    <x v="1"/>
    <n v="146"/>
    <s v="S18_3482"/>
    <s v="Cruz &amp; Sons Co."/>
    <s v="+63 2 555 3587"/>
    <s v="15 McCallum Street - NatWest Center #13-03"/>
    <s v="N/A"/>
    <s v="Makati City"/>
    <s v="N/A"/>
    <s v="1227 MM"/>
    <x v="15"/>
    <s v="Japan"/>
    <s v="Cruz"/>
    <s v="Arnold"/>
    <s v="Medium"/>
  </r>
  <r>
    <n v="10355"/>
    <n v="23"/>
    <n v="100"/>
    <n v="7"/>
    <n v="3177.91"/>
    <x v="228"/>
    <x v="6"/>
    <s v="Shipped"/>
    <n v="4"/>
    <n v="12"/>
    <n v="2004"/>
    <x v="1"/>
    <n v="146"/>
    <s v="S18_3482"/>
    <s v="Euro Shopping Channel"/>
    <s v="(91) 555 94 44"/>
    <s v="C/ Moralzarzal, 86"/>
    <s v="N/A"/>
    <s v="Madrid"/>
    <s v="N/A"/>
    <n v="28034"/>
    <x v="7"/>
    <s v="EMEA"/>
    <s v="Freyre"/>
    <s v="Diego"/>
    <s v="Medium"/>
  </r>
  <r>
    <n v="10146"/>
    <n v="47"/>
    <n v="67.14"/>
    <n v="2"/>
    <n v="3155.58"/>
    <x v="229"/>
    <x v="10"/>
    <s v="Shipped"/>
    <n v="3"/>
    <n v="9"/>
    <n v="2003"/>
    <x v="0"/>
    <n v="62"/>
    <s v="S18_3782"/>
    <s v="Gift Ideas Corp."/>
    <n v="2035554407"/>
    <s v="2440 Pompton St."/>
    <s v="N/A"/>
    <s v="Glendale"/>
    <s v="CT"/>
    <n v="97561"/>
    <x v="0"/>
    <s v="NA"/>
    <s v="Lewis"/>
    <s v="Dan"/>
    <s v="Medium"/>
  </r>
  <r>
    <n v="10264"/>
    <n v="48"/>
    <n v="54.71"/>
    <n v="3"/>
    <n v="2626.08"/>
    <x v="230"/>
    <x v="9"/>
    <s v="Shipped"/>
    <n v="2"/>
    <n v="6"/>
    <n v="2004"/>
    <x v="0"/>
    <n v="62"/>
    <s v="S18_3782"/>
    <s v="Gifts4AllAges.com"/>
    <n v="6175559555"/>
    <s v="8616 Spinnaker Dr."/>
    <s v="N/A"/>
    <s v="Boston"/>
    <s v="MA"/>
    <n v="51003"/>
    <x v="0"/>
    <s v="NA"/>
    <s v="Yoshido"/>
    <s v="Juri"/>
    <s v="Small"/>
  </r>
  <r>
    <n v="10286"/>
    <n v="38"/>
    <n v="57.2"/>
    <n v="1"/>
    <n v="2173.6"/>
    <x v="231"/>
    <x v="3"/>
    <s v="Shipped"/>
    <n v="3"/>
    <n v="8"/>
    <n v="2004"/>
    <x v="0"/>
    <n v="62"/>
    <s v="S18_3782"/>
    <s v="La Corne D'abondance, Co."/>
    <s v="(1) 42.34.2555"/>
    <s v="265, boulevard Charonne"/>
    <s v="N/A"/>
    <s v="Paris"/>
    <s v="N/A"/>
    <n v="75012"/>
    <x v="1"/>
    <s v="EMEA"/>
    <s v="Bertrand"/>
    <s v="Marie"/>
    <s v="Small"/>
  </r>
  <r>
    <n v="10249"/>
    <n v="46"/>
    <n v="100"/>
    <n v="5"/>
    <n v="5600.5"/>
    <x v="232"/>
    <x v="1"/>
    <s v="Shipped"/>
    <n v="2"/>
    <n v="5"/>
    <n v="2004"/>
    <x v="3"/>
    <n v="105"/>
    <s v="S18_3856"/>
    <s v="Cambridge Collectables Co."/>
    <n v="6175555555"/>
    <s v="4658 Baden Av."/>
    <s v="N/A"/>
    <s v="Cambridge"/>
    <s v="MA"/>
    <n v="51247"/>
    <x v="0"/>
    <s v="NA"/>
    <s v="Tseng"/>
    <s v="Kyung"/>
    <s v="Medium"/>
  </r>
  <r>
    <n v="10328"/>
    <n v="34"/>
    <n v="100"/>
    <n v="6"/>
    <n v="3815.48"/>
    <x v="233"/>
    <x v="5"/>
    <s v="Shipped"/>
    <n v="4"/>
    <n v="11"/>
    <n v="2004"/>
    <x v="3"/>
    <n v="105"/>
    <s v="S18_3856"/>
    <s v="Rovelli Gifts"/>
    <s v="035-640555"/>
    <s v="Via Ludovico il Moro 22"/>
    <s v="N/A"/>
    <s v="Bergamo"/>
    <s v="N/A"/>
    <n v="24100"/>
    <x v="12"/>
    <s v="EMEA"/>
    <s v="Rovelli"/>
    <s v="Giovanni"/>
    <s v="Medium"/>
  </r>
  <r>
    <n v="10415"/>
    <n v="51"/>
    <n v="100"/>
    <n v="5"/>
    <n v="6209.25"/>
    <x v="234"/>
    <x v="1"/>
    <s v="Disputed"/>
    <n v="2"/>
    <n v="5"/>
    <n v="2005"/>
    <x v="3"/>
    <n v="105"/>
    <s v="S18_3856"/>
    <s v="Australian Collectables, Ltd"/>
    <s v="61-9-3844-6555"/>
    <s v="7 Allen Street"/>
    <s v="N/A"/>
    <s v="Glen Waverly"/>
    <s v="Victoria"/>
    <n v="3150"/>
    <x v="3"/>
    <s v="APAC"/>
    <s v="Connery"/>
    <s v="Sean"/>
    <s v="Medium"/>
  </r>
  <r>
    <n v="10152"/>
    <n v="35"/>
    <n v="100"/>
    <n v="1"/>
    <n v="4524.1000000000004"/>
    <x v="235"/>
    <x v="10"/>
    <s v="Shipped"/>
    <n v="3"/>
    <n v="9"/>
    <n v="2003"/>
    <x v="1"/>
    <n v="143"/>
    <s v="S18_4027"/>
    <s v="Australian Gift Network, Co"/>
    <s v="61-7-3844-6555"/>
    <s v="31 Duncan St. West End"/>
    <s v="N/A"/>
    <s v="South Brisbane"/>
    <s v="Queensland"/>
    <n v="4101"/>
    <x v="3"/>
    <s v="APAC"/>
    <s v="Calaghan"/>
    <s v="Tony"/>
    <s v="Medium"/>
  </r>
  <r>
    <n v="10213"/>
    <n v="38"/>
    <n v="94.79"/>
    <n v="1"/>
    <n v="3602.02"/>
    <x v="236"/>
    <x v="7"/>
    <s v="Shipped"/>
    <n v="1"/>
    <n v="1"/>
    <n v="2004"/>
    <x v="3"/>
    <n v="92"/>
    <s v="S18_4409"/>
    <s v="Double Decker Gift Stores, Ltd"/>
    <s v="(171) 555-7555"/>
    <s v="120 Hanover Sq."/>
    <s v="N/A"/>
    <s v="London"/>
    <s v="N/A"/>
    <s v="WA1 1DP"/>
    <x v="6"/>
    <s v="EMEA"/>
    <s v="Hardy"/>
    <s v="Thomas"/>
    <s v="Medium"/>
  </r>
  <r>
    <n v="10315"/>
    <n v="36"/>
    <n v="100"/>
    <n v="7"/>
    <n v="3602.16"/>
    <x v="237"/>
    <x v="4"/>
    <s v="Shipped"/>
    <n v="4"/>
    <n v="10"/>
    <n v="2004"/>
    <x v="3"/>
    <n v="87"/>
    <s v="S18_4522"/>
    <s v="La Rochelle Gifts"/>
    <s v="40.67.8555"/>
    <s v="67, rue des Cinquante Otages"/>
    <s v="N/A"/>
    <s v="Nantes"/>
    <s v="N/A"/>
    <n v="44000"/>
    <x v="1"/>
    <s v="EMEA"/>
    <s v="Labrune"/>
    <s v="Janine"/>
    <s v="Medium"/>
  </r>
  <r>
    <n v="10267"/>
    <n v="36"/>
    <n v="75.55"/>
    <n v="1"/>
    <n v="2719.8"/>
    <x v="238"/>
    <x v="2"/>
    <s v="Shipped"/>
    <n v="3"/>
    <n v="7"/>
    <n v="2004"/>
    <x v="1"/>
    <n v="71"/>
    <s v="S18_4933"/>
    <s v="Muscle Machine Inc"/>
    <n v="2125557413"/>
    <s v="4092 Furth Circle"/>
    <s v="Suite 400"/>
    <s v="NYC"/>
    <s v="NY"/>
    <n v="10022"/>
    <x v="0"/>
    <s v="NA"/>
    <s v="Young"/>
    <s v="Jeff"/>
    <s v="Small"/>
  </r>
  <r>
    <n v="10279"/>
    <n v="26"/>
    <n v="60.58"/>
    <n v="1"/>
    <n v="1575.08"/>
    <x v="239"/>
    <x v="3"/>
    <s v="Shipped"/>
    <n v="3"/>
    <n v="8"/>
    <n v="2004"/>
    <x v="1"/>
    <n v="71"/>
    <s v="S18_4933"/>
    <s v="Euro Shopping Channel"/>
    <s v="(91) 555 94 44"/>
    <s v="C/ Moralzarzal, 86"/>
    <s v="N/A"/>
    <s v="Madrid"/>
    <s v="N/A"/>
    <n v="28034"/>
    <x v="7"/>
    <s v="EMEA"/>
    <s v="Freyre"/>
    <s v="Diego"/>
    <s v="Small"/>
  </r>
  <r>
    <n v="10158"/>
    <n v="22"/>
    <n v="67.03"/>
    <n v="1"/>
    <n v="1474.66"/>
    <x v="4"/>
    <x v="4"/>
    <s v="Shipped"/>
    <n v="4"/>
    <n v="10"/>
    <n v="2003"/>
    <x v="0"/>
    <n v="76"/>
    <s v="S24_2000"/>
    <s v="Baane Mini Imports"/>
    <s v="07-98 9555"/>
    <s v="Erling Skakkes gate 78"/>
    <s v="N/A"/>
    <s v="Stavern"/>
    <s v="N/A"/>
    <n v="4110"/>
    <x v="2"/>
    <s v="EMEA"/>
    <s v="Bergulfsen"/>
    <s v="Jonas"/>
    <s v="Small"/>
  </r>
  <r>
    <n v="10340"/>
    <n v="55"/>
    <n v="79.98"/>
    <n v="8"/>
    <n v="4398.8999999999996"/>
    <x v="20"/>
    <x v="5"/>
    <s v="Shipped"/>
    <n v="4"/>
    <n v="11"/>
    <n v="2004"/>
    <x v="0"/>
    <n v="76"/>
    <s v="S24_2000"/>
    <s v="Enaco Distributors"/>
    <s v="(93) 203 4555"/>
    <s v="Rambla de Catalu¤a, 23"/>
    <s v="N/A"/>
    <s v="Barcelona"/>
    <s v="N/A"/>
    <n v="8022"/>
    <x v="7"/>
    <s v="EMEA"/>
    <s v="Saavedra"/>
    <s v="Eduardo"/>
    <s v="Medium"/>
  </r>
  <r>
    <n v="10345"/>
    <n v="43"/>
    <n v="53.76"/>
    <n v="1"/>
    <n v="2311.6799999999998"/>
    <x v="201"/>
    <x v="5"/>
    <s v="Shipped"/>
    <n v="4"/>
    <n v="11"/>
    <n v="2004"/>
    <x v="3"/>
    <n v="44"/>
    <s v="S24_2022"/>
    <s v="Atelier graphique"/>
    <s v="40.32.2555"/>
    <s v="54, rue Royale"/>
    <s v="N/A"/>
    <s v="Nantes"/>
    <s v="N/A"/>
    <n v="44000"/>
    <x v="1"/>
    <s v="EMEA"/>
    <s v="Schmitt"/>
    <s v="Carine"/>
    <s v="Small"/>
  </r>
  <r>
    <n v="10190"/>
    <n v="42"/>
    <n v="76.19"/>
    <n v="3"/>
    <n v="3199.98"/>
    <x v="240"/>
    <x v="5"/>
    <s v="Shipped"/>
    <n v="4"/>
    <n v="11"/>
    <n v="2003"/>
    <x v="0"/>
    <n v="69"/>
    <s v="S24_2360"/>
    <s v="Euro Shopping Channel"/>
    <s v="(91) 555 94 44"/>
    <s v="C/ Moralzarzal, 86"/>
    <s v="N/A"/>
    <s v="Madrid"/>
    <s v="N/A"/>
    <n v="28034"/>
    <x v="7"/>
    <s v="EMEA"/>
    <s v="Freyre"/>
    <s v="Diego"/>
    <s v="Medium"/>
  </r>
  <r>
    <n v="10368"/>
    <n v="40"/>
    <n v="100"/>
    <n v="2"/>
    <n v="4107.2"/>
    <x v="241"/>
    <x v="7"/>
    <s v="Shipped"/>
    <n v="1"/>
    <n v="1"/>
    <n v="2005"/>
    <x v="1"/>
    <n v="90"/>
    <s v="S24_2766"/>
    <s v="Mini Gifts Distributors Ltd."/>
    <n v="4155551450"/>
    <s v="5677 Strong St."/>
    <s v="N/A"/>
    <s v="San Rafael"/>
    <s v="CA"/>
    <n v="97562"/>
    <x v="0"/>
    <s v="NA"/>
    <s v="Nelson"/>
    <s v="Valarie"/>
    <s v="Medium"/>
  </r>
  <r>
    <n v="10335"/>
    <n v="33"/>
    <n v="37.130000000000003"/>
    <n v="2"/>
    <n v="1225.29"/>
    <x v="97"/>
    <x v="5"/>
    <s v="Shipped"/>
    <n v="4"/>
    <n v="11"/>
    <n v="2004"/>
    <x v="1"/>
    <n v="35"/>
    <s v="S24_2840"/>
    <s v="Mini Gifts Distributors Ltd."/>
    <n v="4155551450"/>
    <s v="5677 Strong St."/>
    <s v="N/A"/>
    <s v="San Rafael"/>
    <s v="CA"/>
    <n v="97562"/>
    <x v="0"/>
    <s v="NA"/>
    <s v="Nelson"/>
    <s v="Valarie"/>
    <s v="Small"/>
  </r>
  <r>
    <n v="10154"/>
    <n v="31"/>
    <n v="91.17"/>
    <n v="2"/>
    <n v="2826.27"/>
    <x v="242"/>
    <x v="4"/>
    <s v="Shipped"/>
    <n v="4"/>
    <n v="10"/>
    <n v="2003"/>
    <x v="3"/>
    <n v="88"/>
    <s v="S24_3151"/>
    <s v="Boards &amp; Toys Co."/>
    <n v="3105552373"/>
    <s v="4097 Douglas Av."/>
    <s v="N/A"/>
    <s v="Glendale"/>
    <s v="CA"/>
    <n v="92561"/>
    <x v="0"/>
    <s v="NA"/>
    <s v="Young"/>
    <s v="Leslie"/>
    <s v="Small"/>
  </r>
  <r>
    <n v="10233"/>
    <n v="40"/>
    <n v="94.71"/>
    <n v="2"/>
    <n v="3788.4"/>
    <x v="243"/>
    <x v="11"/>
    <s v="Shipped"/>
    <n v="1"/>
    <n v="3"/>
    <n v="2004"/>
    <x v="3"/>
    <n v="88"/>
    <s v="S24_3151"/>
    <s v="Tekni Collectables Inc."/>
    <n v="2015559350"/>
    <s v="7476 Moss Rd."/>
    <s v="N/A"/>
    <s v="Newark"/>
    <s v="NJ"/>
    <n v="94019"/>
    <x v="0"/>
    <s v="NA"/>
    <s v="Brown"/>
    <s v="William"/>
    <s v="Medium"/>
  </r>
  <r>
    <n v="10385"/>
    <n v="37"/>
    <n v="85.54"/>
    <n v="2"/>
    <n v="3164.98"/>
    <x v="244"/>
    <x v="0"/>
    <s v="Shipped"/>
    <n v="1"/>
    <n v="2"/>
    <n v="2005"/>
    <x v="3"/>
    <n v="83"/>
    <s v="S24_3816"/>
    <s v="Mini Gifts Distributors Ltd."/>
    <n v="4155551450"/>
    <s v="5677 Strong St."/>
    <s v="N/A"/>
    <s v="San Rafael"/>
    <s v="CA"/>
    <n v="97562"/>
    <x v="0"/>
    <s v="NA"/>
    <s v="Nelson"/>
    <s v="Valarie"/>
    <s v="Medium"/>
  </r>
  <r>
    <n v="10242"/>
    <n v="46"/>
    <n v="36.93"/>
    <n v="1"/>
    <n v="1698.78"/>
    <x v="245"/>
    <x v="8"/>
    <s v="Shipped"/>
    <n v="2"/>
    <n v="4"/>
    <n v="2004"/>
    <x v="3"/>
    <n v="41"/>
    <s v="S24_3969"/>
    <s v="Microscale Inc."/>
    <n v="2125551957"/>
    <s v="5290 North Pendale Street"/>
    <s v="Suite 200"/>
    <s v="NYC"/>
    <s v="NY"/>
    <n v="10022"/>
    <x v="0"/>
    <s v="NA"/>
    <s v="Kuo"/>
    <s v="Kee"/>
    <s v="Small"/>
  </r>
  <r>
    <n v="10408"/>
    <n v="15"/>
    <n v="36.93"/>
    <n v="1"/>
    <n v="553.95000000000005"/>
    <x v="185"/>
    <x v="8"/>
    <s v="Shipped"/>
    <n v="2"/>
    <n v="4"/>
    <n v="2005"/>
    <x v="3"/>
    <n v="41"/>
    <s v="S24_3969"/>
    <s v="Tokyo Collectables, Ltd"/>
    <s v="+81 3 3584 0555"/>
    <s v="2-2-8 Roppongi"/>
    <s v="N/A"/>
    <s v="Minato-ku"/>
    <s v="Tokyo"/>
    <s v="106-0032"/>
    <x v="11"/>
    <s v="Japan"/>
    <s v="Shimamura"/>
    <s v="Akiko"/>
    <s v="Small"/>
  </r>
  <r>
    <n v="10317"/>
    <n v="35"/>
    <n v="83.32"/>
    <n v="1"/>
    <n v="2916.2"/>
    <x v="18"/>
    <x v="5"/>
    <s v="Shipped"/>
    <n v="4"/>
    <n v="11"/>
    <n v="2004"/>
    <x v="4"/>
    <n v="72"/>
    <s v="S24_4278"/>
    <s v="Technics Stores Inc."/>
    <n v="6505556809"/>
    <s v="9408 Furth Circle"/>
    <s v="N/A"/>
    <s v="Burlingame"/>
    <s v="CA"/>
    <n v="94217"/>
    <x v="0"/>
    <s v="NA"/>
    <s v="Hirano"/>
    <s v="Juri"/>
    <s v="Small"/>
  </r>
  <r>
    <n v="10387"/>
    <n v="44"/>
    <n v="94.9"/>
    <n v="1"/>
    <n v="4175.6000000000004"/>
    <x v="246"/>
    <x v="11"/>
    <s v="Shipped"/>
    <n v="1"/>
    <n v="3"/>
    <n v="2005"/>
    <x v="0"/>
    <n v="99"/>
    <s v="S32_1374"/>
    <s v="Dragon Souveniers, Ltd."/>
    <s v="+65 221 7555"/>
    <s v="Bronz Sok., Bronz Apt. 3/6 Tesvikiye"/>
    <s v="N/A"/>
    <s v="Singapore"/>
    <s v="N/A"/>
    <n v="79903"/>
    <x v="9"/>
    <s v="Japan"/>
    <s v="Natividad"/>
    <s v="Eric"/>
    <s v="Medium"/>
  </r>
  <r>
    <n v="10364"/>
    <n v="48"/>
    <n v="48.28"/>
    <n v="1"/>
    <n v="2317.44"/>
    <x v="115"/>
    <x v="7"/>
    <s v="Shipped"/>
    <n v="1"/>
    <n v="1"/>
    <n v="2005"/>
    <x v="0"/>
    <n v="40"/>
    <s v="S32_2206"/>
    <s v="Marseille Mini Autos"/>
    <s v="91.24.4555"/>
    <s v="12, rue des Bouchers"/>
    <s v="N/A"/>
    <s v="Marseille"/>
    <s v="N/A"/>
    <n v="13008"/>
    <x v="1"/>
    <s v="EMEA"/>
    <s v="Lebihan"/>
    <s v="Laurence"/>
    <s v="Small"/>
  </r>
  <r>
    <n v="10116"/>
    <n v="27"/>
    <n v="63.38"/>
    <n v="1"/>
    <n v="1711.26"/>
    <x v="247"/>
    <x v="8"/>
    <s v="Shipped"/>
    <n v="2"/>
    <n v="4"/>
    <n v="2003"/>
    <x v="6"/>
    <n v="62"/>
    <s v="S32_3207"/>
    <s v="Royale Belge"/>
    <s v="(071) 23 67 2555"/>
    <s v="Boulevard Tirou, 255"/>
    <s v="N/A"/>
    <s v="Charleroi"/>
    <s v="N/A"/>
    <s v="B-6000"/>
    <x v="14"/>
    <s v="EMEA"/>
    <s v="Cartrain"/>
    <s v="Pascale"/>
    <s v="Small"/>
  </r>
  <r>
    <n v="10144"/>
    <n v="20"/>
    <n v="81.86"/>
    <n v="1"/>
    <n v="1637.2"/>
    <x v="248"/>
    <x v="3"/>
    <s v="Shipped"/>
    <n v="3"/>
    <n v="8"/>
    <n v="2003"/>
    <x v="3"/>
    <n v="68"/>
    <s v="S32_4289"/>
    <s v="Royale Belge"/>
    <s v="(071) 23 67 2555"/>
    <s v="Boulevard Tirou, 255"/>
    <s v="N/A"/>
    <s v="Charleroi"/>
    <s v="N/A"/>
    <s v="B-6000"/>
    <x v="14"/>
    <s v="EMEA"/>
    <s v="Cartrain"/>
    <s v="Pascale"/>
    <s v="Small"/>
  </r>
  <r>
    <n v="10156"/>
    <n v="20"/>
    <n v="41.02"/>
    <n v="1"/>
    <n v="820.4"/>
    <x v="249"/>
    <x v="4"/>
    <s v="Shipped"/>
    <n v="4"/>
    <n v="10"/>
    <n v="2003"/>
    <x v="3"/>
    <n v="43"/>
    <s v="S50_1341"/>
    <s v="Euro Shopping Channel"/>
    <s v="(91) 555 94 44"/>
    <s v="C/ Moralzarzal, 86"/>
    <s v="N/A"/>
    <s v="Madrid"/>
    <s v="N/A"/>
    <n v="28034"/>
    <x v="7"/>
    <s v="EMEA"/>
    <s v="Freyre"/>
    <s v="Diego"/>
    <s v="Small"/>
  </r>
  <r>
    <n v="10199"/>
    <n v="29"/>
    <n v="38.4"/>
    <n v="1"/>
    <n v="1113.5999999999999"/>
    <x v="8"/>
    <x v="6"/>
    <s v="Shipped"/>
    <n v="4"/>
    <n v="12"/>
    <n v="2003"/>
    <x v="3"/>
    <n v="43"/>
    <s v="S50_1341"/>
    <s v="West Coast Collectables Co."/>
    <n v="3105553722"/>
    <s v="3675 Furth Circle"/>
    <s v="N/A"/>
    <s v="Burbank"/>
    <s v="CA"/>
    <n v="94019"/>
    <x v="0"/>
    <s v="NA"/>
    <s v="Thompson"/>
    <s v="Steve"/>
    <s v="Small"/>
  </r>
  <r>
    <n v="10397"/>
    <n v="32"/>
    <n v="80.55"/>
    <n v="5"/>
    <n v="2577.6"/>
    <x v="250"/>
    <x v="11"/>
    <s v="Shipped"/>
    <n v="1"/>
    <n v="3"/>
    <n v="2005"/>
    <x v="5"/>
    <n v="86"/>
    <s v="S700_1938"/>
    <s v="Alpha Cognac"/>
    <s v="61.77.6555"/>
    <s v="1 rue Alsace-Lorraine"/>
    <s v="N/A"/>
    <s v="Toulouse"/>
    <s v="N/A"/>
    <n v="31000"/>
    <x v="1"/>
    <s v="EMEA"/>
    <s v="Roulet"/>
    <s v="Annette"/>
    <s v="Small"/>
  </r>
  <r>
    <n v="10352"/>
    <n v="23"/>
    <n v="100"/>
    <n v="3"/>
    <n v="2352.67"/>
    <x v="195"/>
    <x v="6"/>
    <s v="Shipped"/>
    <n v="4"/>
    <n v="12"/>
    <n v="2004"/>
    <x v="5"/>
    <n v="90"/>
    <s v="S700_2047"/>
    <s v="Auto-Moto Classics Inc."/>
    <n v="6175558428"/>
    <s v="16780 Pompton St."/>
    <s v="N/A"/>
    <s v="Brickhaven"/>
    <s v="MA"/>
    <n v="58339"/>
    <x v="0"/>
    <s v="NA"/>
    <s v="Taylor"/>
    <s v="Leslie"/>
    <s v="Small"/>
  </r>
  <r>
    <n v="10118"/>
    <n v="36"/>
    <n v="100"/>
    <n v="1"/>
    <n v="4219.2"/>
    <x v="251"/>
    <x v="8"/>
    <s v="Shipped"/>
    <n v="2"/>
    <n v="4"/>
    <n v="2003"/>
    <x v="5"/>
    <n v="100"/>
    <s v="S700_3505"/>
    <s v="Enaco Distributors"/>
    <s v="(93) 203 4555"/>
    <s v="Rambla de Catalu¤a, 23"/>
    <s v="N/A"/>
    <s v="Barcelona"/>
    <s v="N/A"/>
    <n v="8022"/>
    <x v="7"/>
    <s v="EMEA"/>
    <s v="Saavedra"/>
    <s v="Eduardo"/>
    <s v="Medium"/>
  </r>
  <r>
    <n v="10294"/>
    <n v="45"/>
    <n v="100"/>
    <n v="1"/>
    <n v="4692.6000000000004"/>
    <x v="77"/>
    <x v="10"/>
    <s v="Shipped"/>
    <n v="3"/>
    <n v="9"/>
    <n v="2004"/>
    <x v="5"/>
    <n v="99"/>
    <s v="S700_3962"/>
    <s v="Online Mini Collectables"/>
    <n v="6175557555"/>
    <s v="7635 Spinnaker Dr."/>
    <s v="N/A"/>
    <s v="Brickhaven"/>
    <s v="MA"/>
    <n v="58339"/>
    <x v="0"/>
    <s v="NA"/>
    <s v="Barajas"/>
    <s v="Miguel"/>
    <s v="Medium"/>
  </r>
  <r>
    <m/>
    <m/>
    <m/>
    <m/>
    <m/>
    <x v="252"/>
    <x v="12"/>
    <m/>
    <m/>
    <m/>
    <m/>
    <x v="7"/>
    <m/>
    <m/>
    <m/>
    <m/>
    <m/>
    <m/>
    <m/>
    <m/>
    <m/>
    <x v="19"/>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n v="10100"/>
    <n v="30"/>
    <n v="100"/>
    <n v="3"/>
    <n v="5151"/>
    <d v="2003-01-06T00:00:00"/>
    <s v="Jan"/>
    <x v="0"/>
    <x v="0"/>
    <n v="1"/>
    <x v="0"/>
    <s v="Vintage Cars"/>
    <n v="170"/>
    <s v="S18_1749"/>
    <s v="Online Diecast Creations Co."/>
    <n v="6035558647"/>
    <s v="2304 Long Airport Avenue"/>
    <s v="N/A"/>
    <s v="Nashua"/>
    <s v="NH"/>
    <n v="62005"/>
    <s v="USA"/>
    <s v="NA"/>
    <s v="Young"/>
    <s v="Valarie"/>
    <s v="Medium"/>
  </r>
  <r>
    <n v="10101"/>
    <n v="25"/>
    <n v="100"/>
    <n v="4"/>
    <n v="3782"/>
    <d v="2003-01-09T00:00:00"/>
    <s v="Jan"/>
    <x v="0"/>
    <x v="0"/>
    <n v="1"/>
    <x v="0"/>
    <s v="Vintage Cars"/>
    <n v="127"/>
    <s v="S18_2325"/>
    <s v="Blauer See Auto, Co."/>
    <s v="+49 69 66 90 2555"/>
    <s v="Lyonerstr. 34"/>
    <s v="N/A"/>
    <s v="Frankfurt"/>
    <s v="N/A"/>
    <n v="60528"/>
    <s v="Germany"/>
    <s v="EMEA"/>
    <s v="Keitel"/>
    <s v="Roland"/>
    <s v="Medium"/>
  </r>
  <r>
    <n v="10102"/>
    <n v="39"/>
    <n v="100"/>
    <n v="2"/>
    <n v="4808.3100000000004"/>
    <d v="2003-01-10T00:00:00"/>
    <s v="Jan"/>
    <x v="0"/>
    <x v="0"/>
    <n v="1"/>
    <x v="0"/>
    <s v="Vintage Cars"/>
    <n v="102"/>
    <s v="S18_1342"/>
    <s v="Vitachrome Inc."/>
    <n v="2125551500"/>
    <s v="2678 Kingston Rd."/>
    <s v="Suite 101"/>
    <s v="NYC"/>
    <s v="NY"/>
    <n v="10022"/>
    <s v="USA"/>
    <s v="NA"/>
    <s v="Frick"/>
    <s v="Michael"/>
    <s v="Medium"/>
  </r>
  <r>
    <n v="10103"/>
    <n v="26"/>
    <n v="100"/>
    <n v="11"/>
    <n v="5404.62"/>
    <d v="2003-01-29T00:00:00"/>
    <s v="Jan"/>
    <x v="0"/>
    <x v="0"/>
    <n v="1"/>
    <x v="0"/>
    <s v="Classic Cars"/>
    <n v="214"/>
    <s v="S10_1949"/>
    <s v="Baane Mini Imports"/>
    <s v="07-98 9555"/>
    <s v="Erling Skakkes gate 78"/>
    <s v="N/A"/>
    <s v="Stavern"/>
    <s v="N/A"/>
    <n v="4110"/>
    <s v="Norway"/>
    <s v="EMEA"/>
    <s v="Bergulfsen"/>
    <s v="Jonas"/>
    <s v="Medium"/>
  </r>
  <r>
    <n v="10104"/>
    <n v="34"/>
    <n v="100"/>
    <n v="1"/>
    <n v="5958.5"/>
    <d v="2003-01-31T00:00:00"/>
    <s v="Jan"/>
    <x v="0"/>
    <x v="0"/>
    <n v="1"/>
    <x v="0"/>
    <s v="Classic Cars"/>
    <n v="151"/>
    <s v="S12_3148"/>
    <s v="Euro Shopping Channel"/>
    <s v="(91) 555 94 44"/>
    <s v="C/ Moralzarzal, 86"/>
    <s v="N/A"/>
    <s v="Madrid"/>
    <s v="N/A"/>
    <n v="28034"/>
    <s v="Spain"/>
    <s v="EMEA"/>
    <s v="Freyre"/>
    <s v="Diego"/>
    <s v="Medium"/>
  </r>
  <r>
    <n v="10105"/>
    <n v="50"/>
    <n v="100"/>
    <n v="2"/>
    <n v="7208"/>
    <d v="2003-02-11T00:00:00"/>
    <s v="Feb"/>
    <x v="0"/>
    <x v="0"/>
    <n v="2"/>
    <x v="0"/>
    <s v="Classic Cars"/>
    <n v="136"/>
    <s v="S10_4757"/>
    <s v="Danish Wholesale Imports"/>
    <s v="31 12 3555"/>
    <s v="Vinb'ltet 34"/>
    <s v="N/A"/>
    <s v="Kobenhavn"/>
    <s v="N/A"/>
    <n v="1734"/>
    <s v="Denmark"/>
    <s v="EMEA"/>
    <s v="Petersen"/>
    <s v="Jytte"/>
    <s v="Large"/>
  </r>
  <r>
    <n v="10106"/>
    <n v="36"/>
    <n v="100"/>
    <n v="12"/>
    <n v="5279.4"/>
    <d v="2003-02-17T00:00:00"/>
    <s v="Feb"/>
    <x v="0"/>
    <x v="0"/>
    <n v="2"/>
    <x v="0"/>
    <s v="Planes"/>
    <n v="157"/>
    <s v="S18_1662"/>
    <s v="Rovelli Gifts"/>
    <s v="035-640555"/>
    <s v="Via Ludovico il Moro 22"/>
    <s v="N/A"/>
    <s v="Bergamo"/>
    <s v="N/A"/>
    <n v="24100"/>
    <s v="Italy"/>
    <s v="EMEA"/>
    <s v="Rovelli"/>
    <s v="Giovanni"/>
    <s v="Medium"/>
  </r>
  <r>
    <n v="10107"/>
    <n v="30"/>
    <n v="95.7"/>
    <n v="2"/>
    <n v="2871"/>
    <d v="2003-02-24T00:00:00"/>
    <s v="Feb"/>
    <x v="0"/>
    <x v="0"/>
    <n v="2"/>
    <x v="0"/>
    <s v="Motorcycles"/>
    <n v="95"/>
    <s v="S10_1678"/>
    <s v="Land of Toys Inc."/>
    <n v="2125557818"/>
    <s v="897 Long Airport Avenue"/>
    <s v="N/A"/>
    <s v="NYC"/>
    <s v="NY"/>
    <n v="10022"/>
    <s v="USA"/>
    <s v="NA"/>
    <s v="Yu"/>
    <s v="Kwai"/>
    <s v="Small"/>
  </r>
  <r>
    <n v="10108"/>
    <n v="33"/>
    <n v="100"/>
    <n v="6"/>
    <n v="5265.15"/>
    <d v="2003-03-03T00:00:00"/>
    <s v="Mar"/>
    <x v="0"/>
    <x v="0"/>
    <n v="3"/>
    <x v="0"/>
    <s v="Classic Cars"/>
    <n v="194"/>
    <s v="S12_1099"/>
    <s v="Cruz &amp; Sons Co."/>
    <s v="+63 2 555 3587"/>
    <s v="15 McCallum Street - NatWest Center #13-03"/>
    <s v="N/A"/>
    <s v="Makati City"/>
    <s v="N/A"/>
    <s v="1227 MM"/>
    <s v="Philippines"/>
    <s v="Japan"/>
    <s v="Cruz"/>
    <s v="Arnold"/>
    <s v="Medium"/>
  </r>
  <r>
    <n v="10109"/>
    <n v="26"/>
    <n v="100"/>
    <n v="4"/>
    <n v="4379.18"/>
    <d v="2003-03-10T00:00:00"/>
    <s v="Mar"/>
    <x v="0"/>
    <x v="0"/>
    <n v="3"/>
    <x v="0"/>
    <s v="Classic Cars"/>
    <n v="141"/>
    <s v="S18_1129"/>
    <s v="Motor Mint Distributors Inc."/>
    <n v="2155559857"/>
    <s v="11328 Douglas Av."/>
    <s v="N/A"/>
    <s v="Philadelphia"/>
    <s v="PA"/>
    <n v="71270"/>
    <s v="USA"/>
    <s v="NA"/>
    <s v="Hernandez"/>
    <s v="Rosa"/>
    <s v="Medium"/>
  </r>
  <r>
    <n v="10110"/>
    <n v="37"/>
    <n v="100"/>
    <n v="16"/>
    <n v="5433.08"/>
    <d v="2003-03-18T00:00:00"/>
    <s v="Mar"/>
    <x v="0"/>
    <x v="0"/>
    <n v="3"/>
    <x v="0"/>
    <s v="Classic Cars"/>
    <n v="124"/>
    <s v="S18_1589"/>
    <s v="AV Stores, Co."/>
    <s v="(171) 555-1555"/>
    <s v="Fauntleroy Circus"/>
    <s v="N/A"/>
    <s v="Manchester"/>
    <s v="N/A"/>
    <s v="EC2 5NT"/>
    <s v="UK"/>
    <s v="EMEA"/>
    <s v="Ashworth"/>
    <s v="Victoria"/>
    <s v="Medium"/>
  </r>
  <r>
    <n v="10111"/>
    <n v="33"/>
    <n v="99.66"/>
    <n v="6"/>
    <n v="3288.78"/>
    <d v="2003-03-25T00:00:00"/>
    <s v="Mar"/>
    <x v="0"/>
    <x v="0"/>
    <n v="3"/>
    <x v="0"/>
    <s v="Vintage Cars"/>
    <n v="102"/>
    <s v="S18_1342"/>
    <s v="Mini Wheels Co."/>
    <n v="6505555787"/>
    <s v="5557 North Pendale Street"/>
    <s v="N/A"/>
    <s v="San Francisco"/>
    <s v="CA"/>
    <s v="N/A"/>
    <s v="USA"/>
    <s v="NA"/>
    <s v="Murphy"/>
    <s v="Julie"/>
    <s v="Medium"/>
  </r>
  <r>
    <n v="10112"/>
    <n v="29"/>
    <n v="100"/>
    <n v="1"/>
    <n v="7209.11"/>
    <d v="2003-03-24T00:00:00"/>
    <s v="Mar"/>
    <x v="0"/>
    <x v="0"/>
    <n v="3"/>
    <x v="0"/>
    <s v="Classic Cars"/>
    <n v="214"/>
    <s v="S10_1949"/>
    <s v="Volvo Model Replicas, Co"/>
    <s v="0921-12 3555"/>
    <s v="Berguvsv„gen  8"/>
    <s v="N/A"/>
    <s v="Lule"/>
    <s v="N/A"/>
    <s v="S-958 22"/>
    <s v="Sweden"/>
    <s v="EMEA"/>
    <s v="Berglund"/>
    <s v="Christina"/>
    <s v="Large"/>
  </r>
  <r>
    <n v="10113"/>
    <n v="21"/>
    <n v="100"/>
    <n v="2"/>
    <n v="3415.44"/>
    <d v="2003-03-26T00:00:00"/>
    <s v="Mar"/>
    <x v="0"/>
    <x v="0"/>
    <n v="3"/>
    <x v="0"/>
    <s v="Trucks and Buses"/>
    <n v="136"/>
    <s v="S12_1666"/>
    <s v="Mini Gifts Distributors Ltd."/>
    <n v="4155551450"/>
    <s v="5677 Strong St."/>
    <s v="N/A"/>
    <s v="San Rafael"/>
    <s v="CA"/>
    <n v="97562"/>
    <s v="USA"/>
    <s v="NA"/>
    <s v="Nelson"/>
    <s v="Valarie"/>
    <s v="Medium"/>
  </r>
  <r>
    <n v="10114"/>
    <n v="31"/>
    <n v="100"/>
    <n v="8"/>
    <n v="4305.28"/>
    <d v="2003-04-01T00:00:00"/>
    <s v="Apr"/>
    <x v="0"/>
    <x v="1"/>
    <n v="4"/>
    <x v="0"/>
    <s v="Classic Cars"/>
    <n v="147"/>
    <s v="S10_4962"/>
    <s v="La Corne D'abondance, Co."/>
    <s v="(1) 42.34.2555"/>
    <s v="265, boulevard Charonne"/>
    <s v="N/A"/>
    <s v="Paris"/>
    <s v="N/A"/>
    <n v="75012"/>
    <s v="France"/>
    <s v="EMEA"/>
    <s v="Bertrand"/>
    <s v="Marie"/>
    <s v="Medium"/>
  </r>
  <r>
    <n v="10115"/>
    <n v="46"/>
    <n v="100"/>
    <n v="5"/>
    <n v="5723.78"/>
    <d v="2003-04-04T00:00:00"/>
    <s v="Apr"/>
    <x v="0"/>
    <x v="1"/>
    <n v="4"/>
    <x v="0"/>
    <s v="Trucks and Buses"/>
    <n v="118"/>
    <s v="S12_4473"/>
    <s v="Classic Legends Inc."/>
    <n v="2125558493"/>
    <s v="5905 Pompton St."/>
    <s v="Suite 750"/>
    <s v="NYC"/>
    <s v="NY"/>
    <n v="10022"/>
    <s v="USA"/>
    <s v="NA"/>
    <s v="Hernandez"/>
    <s v="Maria"/>
    <s v="Medium"/>
  </r>
  <r>
    <n v="10116"/>
    <n v="27"/>
    <n v="63.38"/>
    <n v="1"/>
    <n v="1711.26"/>
    <d v="2003-04-11T00:00:00"/>
    <s v="Apr"/>
    <x v="0"/>
    <x v="1"/>
    <n v="4"/>
    <x v="0"/>
    <s v="Trains"/>
    <n v="62"/>
    <s v="S32_3207"/>
    <s v="Royale Belge"/>
    <s v="(071) 23 67 2555"/>
    <s v="Boulevard Tirou, 255"/>
    <s v="N/A"/>
    <s v="Charleroi"/>
    <s v="N/A"/>
    <s v="B-6000"/>
    <s v="Belgium"/>
    <s v="EMEA"/>
    <s v="Cartrain"/>
    <s v="Pascale"/>
    <s v="Small"/>
  </r>
  <r>
    <n v="10117"/>
    <n v="33"/>
    <n v="100"/>
    <n v="9"/>
    <n v="6034.38"/>
    <d v="2003-04-16T00:00:00"/>
    <s v="Apr"/>
    <x v="0"/>
    <x v="1"/>
    <n v="4"/>
    <x v="0"/>
    <s v="Classic Cars"/>
    <n v="207"/>
    <s v="S12_1108"/>
    <s v="Dragon Souveniers, Ltd."/>
    <s v="+65 221 7555"/>
    <s v="Bronz Sok., Bronz Apt. 3/6 Tesvikiye"/>
    <s v="N/A"/>
    <s v="Singapore"/>
    <s v="N/A"/>
    <n v="79903"/>
    <s v="Singapore"/>
    <s v="Japan"/>
    <s v="Natividad"/>
    <s v="Eric"/>
    <s v="Medium"/>
  </r>
  <r>
    <n v="10118"/>
    <n v="36"/>
    <n v="100"/>
    <n v="1"/>
    <n v="4219.2"/>
    <d v="2003-04-21T00:00:00"/>
    <s v="Apr"/>
    <x v="0"/>
    <x v="1"/>
    <n v="4"/>
    <x v="0"/>
    <s v="Ships"/>
    <n v="100"/>
    <s v="S700_3505"/>
    <s v="Enaco Distributors"/>
    <s v="(93) 203 4555"/>
    <s v="Rambla de Catalu¤a, 23"/>
    <s v="N/A"/>
    <s v="Barcelona"/>
    <s v="N/A"/>
    <n v="8022"/>
    <s v="Spain"/>
    <s v="EMEA"/>
    <s v="Saavedra"/>
    <s v="Eduardo"/>
    <s v="Medium"/>
  </r>
  <r>
    <n v="10119"/>
    <n v="46"/>
    <n v="100"/>
    <n v="11"/>
    <n v="5004.8"/>
    <d v="2003-04-28T00:00:00"/>
    <s v="Apr"/>
    <x v="0"/>
    <x v="1"/>
    <n v="4"/>
    <x v="0"/>
    <s v="Classic Cars"/>
    <n v="136"/>
    <s v="S10_4757"/>
    <s v="Salzburg Collectables"/>
    <s v="6562-9555"/>
    <s v="Geislweg 14"/>
    <s v="N/A"/>
    <s v="Salzburg"/>
    <s v="N/A"/>
    <n v="5020"/>
    <s v="Austria"/>
    <s v="EMEA"/>
    <s v="Pipps"/>
    <s v="Georg"/>
    <s v="Medium"/>
  </r>
  <r>
    <n v="10120"/>
    <n v="29"/>
    <n v="96.34"/>
    <n v="3"/>
    <n v="2793.86"/>
    <d v="2003-04-29T00:00:00"/>
    <s v="Apr"/>
    <x v="0"/>
    <x v="1"/>
    <n v="4"/>
    <x v="0"/>
    <s v="Motorcycles"/>
    <n v="118"/>
    <s v="S10_2016"/>
    <s v="Australian Collectors, Co."/>
    <s v="03 9520 4555"/>
    <s v="636 St Kilda Road"/>
    <s v="Level 3"/>
    <s v="Melbourne"/>
    <s v="Victoria"/>
    <n v="3004"/>
    <s v="Australia"/>
    <s v="APAC"/>
    <s v="Ferguson"/>
    <s v="Peter"/>
    <s v="Small"/>
  </r>
  <r>
    <n v="10121"/>
    <n v="34"/>
    <n v="81.349999999999994"/>
    <n v="5"/>
    <n v="2765.9"/>
    <d v="2003-05-07T00:00:00"/>
    <s v="May"/>
    <x v="0"/>
    <x v="1"/>
    <n v="5"/>
    <x v="0"/>
    <s v="Motorcycles"/>
    <n v="95"/>
    <s v="S10_1678"/>
    <s v="Reims Collectables"/>
    <s v="26.47.1555"/>
    <s v="59 rue de l'Abbaye"/>
    <s v="N/A"/>
    <s v="Reims"/>
    <s v="N/A"/>
    <n v="51100"/>
    <s v="France"/>
    <s v="EMEA"/>
    <s v="Henriot"/>
    <s v="Paul"/>
    <s v="Small"/>
  </r>
  <r>
    <n v="10122"/>
    <n v="42"/>
    <n v="100"/>
    <n v="10"/>
    <n v="7599.9"/>
    <d v="2003-05-08T00:00:00"/>
    <s v="May"/>
    <x v="0"/>
    <x v="1"/>
    <n v="5"/>
    <x v="0"/>
    <s v="Classic Cars"/>
    <n v="194"/>
    <s v="S12_1099"/>
    <s v="Marseille Mini Autos"/>
    <s v="91.24.4555"/>
    <s v="12, rue des Bouchers"/>
    <s v="N/A"/>
    <s v="Marseille"/>
    <s v="N/A"/>
    <n v="13008"/>
    <s v="France"/>
    <s v="EMEA"/>
    <s v="Lebihan"/>
    <s v="Laurence"/>
    <s v="Large"/>
  </r>
  <r>
    <n v="10123"/>
    <n v="26"/>
    <n v="100"/>
    <n v="2"/>
    <n v="3073.72"/>
    <d v="2003-05-20T00:00:00"/>
    <s v="May"/>
    <x v="0"/>
    <x v="1"/>
    <n v="5"/>
    <x v="0"/>
    <s v="Classic Cars"/>
    <n v="124"/>
    <s v="S18_1589"/>
    <s v="Atelier graphique"/>
    <s v="40.32.2555"/>
    <s v="54, rue Royale"/>
    <s v="N/A"/>
    <s v="Nantes"/>
    <s v="N/A"/>
    <n v="44000"/>
    <s v="France"/>
    <s v="EMEA"/>
    <s v="Schmitt"/>
    <s v="Carine"/>
    <s v="Medium"/>
  </r>
  <r>
    <n v="10124"/>
    <n v="21"/>
    <n v="100"/>
    <n v="6"/>
    <n v="2856"/>
    <d v="2003-05-21T00:00:00"/>
    <s v="May"/>
    <x v="0"/>
    <x v="1"/>
    <n v="5"/>
    <x v="0"/>
    <s v="Vintage Cars"/>
    <n v="170"/>
    <s v="S18_1749"/>
    <s v="Signal Gift Stores"/>
    <n v="7025551838"/>
    <s v="8489 Strong St."/>
    <s v="N/A"/>
    <s v="Las Vegas"/>
    <s v="NV"/>
    <n v="83030"/>
    <s v="USA"/>
    <s v="NA"/>
    <s v="King"/>
    <s v="Sue"/>
    <s v="Small"/>
  </r>
  <r>
    <n v="10125"/>
    <n v="32"/>
    <n v="100"/>
    <n v="1"/>
    <n v="3254.72"/>
    <d v="2003-05-21T00:00:00"/>
    <s v="May"/>
    <x v="0"/>
    <x v="1"/>
    <n v="5"/>
    <x v="0"/>
    <s v="Vintage Cars"/>
    <n v="102"/>
    <s v="S18_1342"/>
    <s v="Australian Collectors, Co."/>
    <s v="03 9520 4555"/>
    <s v="636 St Kilda Road"/>
    <s v="Level 3"/>
    <s v="Melbourne"/>
    <s v="Victoria"/>
    <n v="3004"/>
    <s v="Australia"/>
    <s v="APAC"/>
    <s v="Ferguson"/>
    <s v="Peter"/>
    <s v="Medium"/>
  </r>
  <r>
    <n v="10126"/>
    <n v="38"/>
    <n v="100"/>
    <n v="11"/>
    <n v="7329.06"/>
    <d v="2003-05-28T00:00:00"/>
    <s v="May"/>
    <x v="0"/>
    <x v="1"/>
    <n v="5"/>
    <x v="0"/>
    <s v="Classic Cars"/>
    <n v="214"/>
    <s v="S10_1949"/>
    <s v="Corrida Auto Replicas, Ltd"/>
    <s v="(91) 555 22 82"/>
    <s v="C/ Araquil, 67"/>
    <s v="N/A"/>
    <s v="Madrid"/>
    <s v="N/A"/>
    <n v="28023"/>
    <s v="Spain"/>
    <s v="EMEA"/>
    <s v="Sommer"/>
    <s v="Mart¡n"/>
    <s v="Large"/>
  </r>
  <r>
    <n v="10127"/>
    <n v="46"/>
    <n v="100"/>
    <n v="2"/>
    <n v="11279.2"/>
    <d v="2003-06-03T00:00:00"/>
    <s v="Jun"/>
    <x v="0"/>
    <x v="1"/>
    <n v="6"/>
    <x v="0"/>
    <s v="Classic Cars"/>
    <n v="207"/>
    <s v="S12_1108"/>
    <s v="Muscle Machine Inc"/>
    <n v="2125557413"/>
    <s v="4092 Furth Circle"/>
    <s v="Suite 400"/>
    <s v="NYC"/>
    <s v="NY"/>
    <n v="10022"/>
    <s v="USA"/>
    <s v="NA"/>
    <s v="Young"/>
    <s v="Jeff"/>
    <s v="Large"/>
  </r>
  <r>
    <n v="10128"/>
    <n v="41"/>
    <n v="100"/>
    <n v="2"/>
    <n v="5544.02"/>
    <d v="2003-06-06T00:00:00"/>
    <s v="Jun"/>
    <x v="0"/>
    <x v="1"/>
    <n v="6"/>
    <x v="0"/>
    <s v="Vintage Cars"/>
    <n v="136"/>
    <s v="S18_3140"/>
    <s v="Euro Shopping Channel"/>
    <s v="(91) 555 94 44"/>
    <s v="C/ Moralzarzal, 86"/>
    <s v="N/A"/>
    <s v="Madrid"/>
    <s v="N/A"/>
    <n v="28034"/>
    <s v="Spain"/>
    <s v="EMEA"/>
    <s v="Freyre"/>
    <s v="Diego"/>
    <s v="Medium"/>
  </r>
  <r>
    <n v="10129"/>
    <n v="33"/>
    <n v="100"/>
    <n v="2"/>
    <n v="4398.24"/>
    <d v="2003-06-12T00:00:00"/>
    <s v="Jun"/>
    <x v="0"/>
    <x v="1"/>
    <n v="6"/>
    <x v="0"/>
    <s v="Classic Cars"/>
    <n v="136"/>
    <s v="S10_4757"/>
    <s v="Stylish Desk Decors, Co."/>
    <s v="(171) 555-0297"/>
    <s v="35 King George"/>
    <s v="N/A"/>
    <s v="London"/>
    <s v="N/A"/>
    <s v="WX3 6FW"/>
    <s v="UK"/>
    <s v="EMEA"/>
    <s v="Brown"/>
    <s v="Ann"/>
    <s v="Medium"/>
  </r>
  <r>
    <n v="10130"/>
    <n v="40"/>
    <n v="96.34"/>
    <n v="2"/>
    <n v="3853.6"/>
    <d v="2003-06-16T00:00:00"/>
    <s v="Jun"/>
    <x v="0"/>
    <x v="1"/>
    <n v="6"/>
    <x v="0"/>
    <s v="Ships"/>
    <n v="86"/>
    <s v="S18_3029"/>
    <s v="Auto-Moto Classics Inc."/>
    <n v="6175558428"/>
    <s v="16780 Pompton St."/>
    <s v="N/A"/>
    <s v="Brickhaven"/>
    <s v="MA"/>
    <n v="58339"/>
    <s v="USA"/>
    <s v="NA"/>
    <s v="Taylor"/>
    <s v="Leslie"/>
    <s v="Medium"/>
  </r>
  <r>
    <n v="10131"/>
    <n v="21"/>
    <n v="100"/>
    <n v="4"/>
    <n v="2781.66"/>
    <d v="2003-06-16T00:00:00"/>
    <s v="Jun"/>
    <x v="0"/>
    <x v="1"/>
    <n v="6"/>
    <x v="0"/>
    <s v="Planes"/>
    <n v="157"/>
    <s v="S18_1662"/>
    <s v="Gift Ideas Corp."/>
    <n v="2035554407"/>
    <s v="2440 Pompton St."/>
    <s v="N/A"/>
    <s v="Glendale"/>
    <s v="CT"/>
    <n v="97561"/>
    <s v="USA"/>
    <s v="NA"/>
    <s v="Lewis"/>
    <s v="Dan"/>
    <s v="Small"/>
  </r>
  <r>
    <n v="10133"/>
    <n v="49"/>
    <n v="69.27"/>
    <n v="3"/>
    <n v="3394.23"/>
    <d v="2003-06-27T00:00:00"/>
    <s v="Jun"/>
    <x v="0"/>
    <x v="1"/>
    <n v="6"/>
    <x v="0"/>
    <s v="Planes"/>
    <n v="84"/>
    <s v="S18_2581"/>
    <s v="Euro Shopping Channel"/>
    <s v="(91) 555 94 44"/>
    <s v="C/ Moralzarzal, 86"/>
    <s v="N/A"/>
    <s v="Madrid"/>
    <s v="N/A"/>
    <n v="28034"/>
    <s v="Spain"/>
    <s v="EMEA"/>
    <s v="Freyre"/>
    <s v="Diego"/>
    <s v="Medium"/>
  </r>
  <r>
    <n v="10134"/>
    <n v="41"/>
    <n v="94.74"/>
    <n v="2"/>
    <n v="3884.34"/>
    <d v="2003-07-01T00:00:00"/>
    <s v="Jul"/>
    <x v="0"/>
    <x v="2"/>
    <n v="7"/>
    <x v="0"/>
    <s v="Motorcycles"/>
    <n v="95"/>
    <s v="S10_1678"/>
    <s v="Lyon Souveniers"/>
    <s v="+33 1 46 62 7555"/>
    <s v="27 rue du Colonel Pierre Avia"/>
    <s v="N/A"/>
    <s v="Paris"/>
    <s v="N/A"/>
    <n v="75508"/>
    <s v="France"/>
    <s v="EMEA"/>
    <s v="Da Cunha"/>
    <s v="Daniel"/>
    <s v="Medium"/>
  </r>
  <r>
    <n v="10135"/>
    <n v="42"/>
    <n v="100"/>
    <n v="7"/>
    <n v="8008.56"/>
    <d v="2003-07-02T00:00:00"/>
    <s v="Jul"/>
    <x v="0"/>
    <x v="2"/>
    <n v="7"/>
    <x v="0"/>
    <s v="Classic Cars"/>
    <n v="194"/>
    <s v="S12_1099"/>
    <s v="Mini Gifts Distributors Ltd."/>
    <n v="4155551450"/>
    <s v="5677 Strong St."/>
    <s v="N/A"/>
    <s v="San Rafael"/>
    <s v="CA"/>
    <n v="97562"/>
    <s v="USA"/>
    <s v="NA"/>
    <s v="Nelson"/>
    <s v="Valarie"/>
    <s v="Large"/>
  </r>
  <r>
    <n v="10136"/>
    <n v="25"/>
    <n v="100"/>
    <n v="2"/>
    <n v="3644.75"/>
    <d v="2003-07-04T00:00:00"/>
    <s v="Jul"/>
    <x v="0"/>
    <x v="2"/>
    <n v="7"/>
    <x v="0"/>
    <s v="Classic Cars"/>
    <n v="141"/>
    <s v="S18_1129"/>
    <s v="Alpha Cognac"/>
    <s v="61.77.6555"/>
    <s v="1 rue Alsace-Lorraine"/>
    <s v="N/A"/>
    <s v="Toulouse"/>
    <s v="N/A"/>
    <n v="31000"/>
    <s v="France"/>
    <s v="EMEA"/>
    <s v="Roulet"/>
    <s v="Annette"/>
    <s v="Medium"/>
  </r>
  <r>
    <n v="10137"/>
    <n v="44"/>
    <n v="99.55"/>
    <n v="2"/>
    <n v="4380.2"/>
    <d v="2003-07-10T00:00:00"/>
    <s v="Jul"/>
    <x v="0"/>
    <x v="2"/>
    <n v="7"/>
    <x v="0"/>
    <s v="Classic Cars"/>
    <n v="124"/>
    <s v="S18_1589"/>
    <s v="Reims Collectables"/>
    <s v="26.47.1555"/>
    <s v="59 rue de l'Abbaye"/>
    <s v="N/A"/>
    <s v="Reims"/>
    <s v="N/A"/>
    <n v="51100"/>
    <s v="France"/>
    <s v="EMEA"/>
    <s v="Henriot"/>
    <s v="Paul"/>
    <s v="Medium"/>
  </r>
  <r>
    <n v="10139"/>
    <n v="31"/>
    <n v="100"/>
    <n v="7"/>
    <n v="3184.94"/>
    <d v="2003-07-16T00:00:00"/>
    <s v="Jul"/>
    <x v="0"/>
    <x v="2"/>
    <n v="7"/>
    <x v="0"/>
    <s v="Vintage Cars"/>
    <n v="102"/>
    <s v="S18_1342"/>
    <s v="Souveniers And Things Co."/>
    <s v="+61 2 9495 8555"/>
    <s v="Monitor Money Building, 815 Pacific Hwy"/>
    <s v="Level 6"/>
    <s v="Chatswood"/>
    <s v="NSW"/>
    <n v="2067"/>
    <s v="Australia"/>
    <s v="APAC"/>
    <s v="Huxley"/>
    <s v="Adrian"/>
    <s v="Medium"/>
  </r>
  <r>
    <n v="10140"/>
    <n v="37"/>
    <n v="100"/>
    <n v="11"/>
    <n v="7374.1"/>
    <d v="2003-07-24T00:00:00"/>
    <s v="Jul"/>
    <x v="0"/>
    <x v="2"/>
    <n v="7"/>
    <x v="0"/>
    <s v="Classic Cars"/>
    <n v="214"/>
    <s v="S10_1949"/>
    <s v="Technics Stores Inc."/>
    <n v="6505556809"/>
    <s v="9408 Furth Circle"/>
    <s v="N/A"/>
    <s v="Burlingame"/>
    <s v="CA"/>
    <n v="94217"/>
    <s v="USA"/>
    <s v="NA"/>
    <s v="Hirano"/>
    <s v="Juri"/>
    <s v="Large"/>
  </r>
  <r>
    <n v="10141"/>
    <n v="21"/>
    <n v="100"/>
    <n v="5"/>
    <n v="2140.11"/>
    <d v="2003-08-01T00:00:00"/>
    <s v="Aug"/>
    <x v="0"/>
    <x v="2"/>
    <n v="8"/>
    <x v="0"/>
    <s v="Trucks and Buses"/>
    <n v="118"/>
    <s v="S12_4473"/>
    <s v="Suominen Souveniers"/>
    <s v="+358 9 8045 555"/>
    <s v="Software Engineering Center, SEC Oy"/>
    <s v="N/A"/>
    <s v="Espoo"/>
    <s v="N/A"/>
    <s v="FIN-02271"/>
    <s v="Finland"/>
    <s v="EMEA"/>
    <s v="Suominen"/>
    <s v="Kalle"/>
    <s v="Small"/>
  </r>
  <r>
    <n v="10142"/>
    <n v="33"/>
    <n v="100"/>
    <n v="12"/>
    <n v="8023.29"/>
    <d v="2003-08-08T00:00:00"/>
    <s v="Aug"/>
    <x v="0"/>
    <x v="2"/>
    <n v="8"/>
    <x v="0"/>
    <s v="Classic Cars"/>
    <n v="207"/>
    <s v="S12_1108"/>
    <s v="Mini Gifts Distributors Ltd."/>
    <n v="4155551450"/>
    <s v="5677 Strong St."/>
    <s v="N/A"/>
    <s v="San Rafael"/>
    <s v="CA"/>
    <n v="97562"/>
    <s v="USA"/>
    <s v="NA"/>
    <s v="Nelson"/>
    <s v="Valarie"/>
    <s v="Large"/>
  </r>
  <r>
    <n v="10143"/>
    <n v="49"/>
    <n v="100"/>
    <n v="15"/>
    <n v="5597.76"/>
    <d v="2003-08-10T00:00:00"/>
    <s v="Aug"/>
    <x v="0"/>
    <x v="2"/>
    <n v="8"/>
    <x v="0"/>
    <s v="Classic Cars"/>
    <n v="136"/>
    <s v="S10_4757"/>
    <s v="Mini Creations Ltd."/>
    <n v="5085559555"/>
    <s v="4575 Hillside Dr."/>
    <s v="N/A"/>
    <s v="New Bedford"/>
    <s v="MA"/>
    <n v="50553"/>
    <s v="USA"/>
    <s v="NA"/>
    <s v="Tam"/>
    <s v="Wing C"/>
    <s v="Medium"/>
  </r>
  <r>
    <n v="10144"/>
    <n v="20"/>
    <n v="81.86"/>
    <n v="1"/>
    <n v="1637.2"/>
    <d v="2003-08-13T00:00:00"/>
    <s v="Aug"/>
    <x v="0"/>
    <x v="2"/>
    <n v="8"/>
    <x v="0"/>
    <s v="Vintage Cars"/>
    <n v="68"/>
    <s v="S32_4289"/>
    <s v="Royale Belge"/>
    <s v="(071) 23 67 2555"/>
    <s v="Boulevard Tirou, 255"/>
    <s v="N/A"/>
    <s v="Charleroi"/>
    <s v="N/A"/>
    <s v="B-6000"/>
    <s v="Belgium"/>
    <s v="EMEA"/>
    <s v="Cartrain"/>
    <s v="Pascale"/>
    <s v="Small"/>
  </r>
  <r>
    <n v="10145"/>
    <n v="45"/>
    <n v="83.26"/>
    <n v="6"/>
    <n v="3746.7"/>
    <d v="2003-08-25T00:00:00"/>
    <s v="Aug"/>
    <x v="0"/>
    <x v="2"/>
    <n v="8"/>
    <x v="0"/>
    <s v="Motorcycles"/>
    <n v="95"/>
    <s v="S10_1678"/>
    <s v="Toys4GrownUps.com"/>
    <n v="6265557265"/>
    <s v="78934 Hillside Dr."/>
    <s v="N/A"/>
    <s v="Pasadena"/>
    <s v="CA"/>
    <n v="90003"/>
    <s v="USA"/>
    <s v="NA"/>
    <s v="Young"/>
    <s v="Julie"/>
    <s v="Medium"/>
  </r>
  <r>
    <n v="10146"/>
    <n v="47"/>
    <n v="67.14"/>
    <n v="2"/>
    <n v="3155.58"/>
    <d v="2003-09-03T00:00:00"/>
    <s v="Sep"/>
    <x v="0"/>
    <x v="2"/>
    <n v="9"/>
    <x v="0"/>
    <s v="Motorcycles"/>
    <n v="62"/>
    <s v="S18_3782"/>
    <s v="Gift Ideas Corp."/>
    <n v="2035554407"/>
    <s v="2440 Pompton St."/>
    <s v="N/A"/>
    <s v="Glendale"/>
    <s v="CT"/>
    <n v="97561"/>
    <s v="USA"/>
    <s v="NA"/>
    <s v="Lewis"/>
    <s v="Dan"/>
    <s v="Medium"/>
  </r>
  <r>
    <n v="10147"/>
    <n v="48"/>
    <n v="100"/>
    <n v="7"/>
    <n v="9245.76"/>
    <d v="2003-09-05T00:00:00"/>
    <s v="Sep"/>
    <x v="0"/>
    <x v="2"/>
    <n v="9"/>
    <x v="0"/>
    <s v="Classic Cars"/>
    <n v="194"/>
    <s v="S12_1099"/>
    <s v="Collectables For Less Inc."/>
    <n v="6175558555"/>
    <s v="7825 Douglas Av."/>
    <s v="N/A"/>
    <s v="Brickhaven"/>
    <s v="MA"/>
    <n v="58339"/>
    <s v="USA"/>
    <s v="NA"/>
    <s v="Nelson"/>
    <s v="Allen"/>
    <s v="Large"/>
  </r>
  <r>
    <n v="10148"/>
    <n v="23"/>
    <n v="100"/>
    <n v="13"/>
    <n v="2702.04"/>
    <d v="2003-09-11T00:00:00"/>
    <s v="Sep"/>
    <x v="0"/>
    <x v="2"/>
    <n v="9"/>
    <x v="0"/>
    <s v="Classic Cars"/>
    <n v="141"/>
    <s v="S18_1129"/>
    <s v="Anna's Decorations, Ltd"/>
    <s v="02 9936 8555"/>
    <s v="201 Miller Street"/>
    <s v="Level 15"/>
    <s v="North Sydney"/>
    <s v="NSW"/>
    <n v="2060"/>
    <s v="Australia"/>
    <s v="APAC"/>
    <s v="O'Hara"/>
    <s v="Anna"/>
    <s v="Small"/>
  </r>
  <r>
    <n v="10149"/>
    <n v="50"/>
    <n v="100"/>
    <n v="4"/>
    <n v="5907.5"/>
    <d v="2003-09-12T00:00:00"/>
    <s v="Sep"/>
    <x v="0"/>
    <x v="2"/>
    <n v="9"/>
    <x v="0"/>
    <s v="Vintage Cars"/>
    <n v="102"/>
    <s v="S18_1342"/>
    <s v="Signal Collectibles Ltd."/>
    <n v="4155554312"/>
    <s v="2793 Furth Circle"/>
    <s v="N/A"/>
    <s v="Brisbane"/>
    <s v="CA"/>
    <n v="94217"/>
    <s v="USA"/>
    <s v="NA"/>
    <s v="Taylor"/>
    <s v="Sue"/>
    <s v="Medium"/>
  </r>
  <r>
    <n v="10150"/>
    <n v="45"/>
    <n v="100"/>
    <n v="8"/>
    <n v="10993.5"/>
    <d v="2003-09-19T00:00:00"/>
    <s v="Sep"/>
    <x v="0"/>
    <x v="2"/>
    <n v="9"/>
    <x v="0"/>
    <s v="Classic Cars"/>
    <n v="214"/>
    <s v="S10_1949"/>
    <s v="Dragon Souveniers, Ltd."/>
    <s v="+65 221 7555"/>
    <s v="Bronz Sok., Bronz Apt. 3/6 Tesvikiye"/>
    <s v="N/A"/>
    <s v="Singapore"/>
    <s v="N/A"/>
    <n v="79903"/>
    <s v="Singapore"/>
    <s v="Japan"/>
    <s v="Natividad"/>
    <s v="Eric"/>
    <s v="Large"/>
  </r>
  <r>
    <n v="10151"/>
    <n v="24"/>
    <n v="100"/>
    <n v="3"/>
    <n v="3327.6"/>
    <d v="2003-09-21T00:00:00"/>
    <s v="Sep"/>
    <x v="0"/>
    <x v="2"/>
    <n v="9"/>
    <x v="0"/>
    <s v="Trucks and Buses"/>
    <n v="118"/>
    <s v="S12_4473"/>
    <s v="Oulu Toy Supplies, Inc."/>
    <s v="981-443655"/>
    <s v="Torikatu 38"/>
    <s v="N/A"/>
    <s v="Oulu"/>
    <s v="N/A"/>
    <n v="90110"/>
    <s v="Finland"/>
    <s v="EMEA"/>
    <s v="Koskitalo"/>
    <s v="Pirkko"/>
    <s v="Medium"/>
  </r>
  <r>
    <n v="10152"/>
    <n v="35"/>
    <n v="100"/>
    <n v="1"/>
    <n v="4524.1000000000004"/>
    <d v="2003-09-25T00:00:00"/>
    <s v="Sep"/>
    <x v="0"/>
    <x v="2"/>
    <n v="9"/>
    <x v="0"/>
    <s v="Classic Cars"/>
    <n v="143"/>
    <s v="S18_4027"/>
    <s v="Australian Gift Network, Co"/>
    <s v="61-7-3844-6555"/>
    <s v="31 Duncan St. West End"/>
    <s v="N/A"/>
    <s v="South Brisbane"/>
    <s v="Queensland"/>
    <n v="4101"/>
    <s v="Australia"/>
    <s v="APAC"/>
    <s v="Calaghan"/>
    <s v="Tony"/>
    <s v="Medium"/>
  </r>
  <r>
    <n v="10153"/>
    <n v="20"/>
    <n v="100"/>
    <n v="11"/>
    <n v="4904"/>
    <d v="2003-09-28T00:00:00"/>
    <s v="Sep"/>
    <x v="0"/>
    <x v="2"/>
    <n v="9"/>
    <x v="0"/>
    <s v="Classic Cars"/>
    <n v="207"/>
    <s v="S12_1108"/>
    <s v="Euro Shopping Channel"/>
    <s v="(91) 555 94 44"/>
    <s v="C/ Moralzarzal, 86"/>
    <s v="N/A"/>
    <s v="Madrid"/>
    <s v="N/A"/>
    <n v="28034"/>
    <s v="Spain"/>
    <s v="EMEA"/>
    <s v="Freyre"/>
    <s v="Diego"/>
    <s v="Medium"/>
  </r>
  <r>
    <n v="10154"/>
    <n v="31"/>
    <n v="91.17"/>
    <n v="2"/>
    <n v="2826.27"/>
    <d v="2003-10-02T00:00:00"/>
    <s v="Oct"/>
    <x v="0"/>
    <x v="3"/>
    <n v="10"/>
    <x v="0"/>
    <s v="Vintage Cars"/>
    <n v="88"/>
    <s v="S24_3151"/>
    <s v="Boards &amp; Toys Co."/>
    <n v="3105552373"/>
    <s v="4097 Douglas Av."/>
    <s v="N/A"/>
    <s v="Glendale"/>
    <s v="CA"/>
    <n v="92561"/>
    <s v="USA"/>
    <s v="NA"/>
    <s v="Young"/>
    <s v="Leslie"/>
    <s v="Small"/>
  </r>
  <r>
    <n v="10155"/>
    <n v="32"/>
    <n v="100"/>
    <n v="13"/>
    <n v="4526.08"/>
    <d v="2003-10-06T00:00:00"/>
    <s v="Oct"/>
    <x v="0"/>
    <x v="3"/>
    <n v="10"/>
    <x v="0"/>
    <s v="Classic Cars"/>
    <n v="136"/>
    <s v="S10_4757"/>
    <s v="Toys of Finland, Co."/>
    <s v="90-224 8555"/>
    <s v="Keskuskatu 45"/>
    <s v="N/A"/>
    <s v="Helsinki"/>
    <s v="N/A"/>
    <n v="21240"/>
    <s v="Finland"/>
    <s v="EMEA"/>
    <s v="Karttunen"/>
    <s v="Matti"/>
    <s v="Medium"/>
  </r>
  <r>
    <n v="10156"/>
    <n v="20"/>
    <n v="41.02"/>
    <n v="1"/>
    <n v="820.4"/>
    <d v="2003-10-08T00:00:00"/>
    <s v="Oct"/>
    <x v="0"/>
    <x v="3"/>
    <n v="10"/>
    <x v="0"/>
    <s v="Vintage Cars"/>
    <n v="43"/>
    <s v="S50_1341"/>
    <s v="Euro Shopping Channel"/>
    <s v="(91) 555 94 44"/>
    <s v="C/ Moralzarzal, 86"/>
    <s v="N/A"/>
    <s v="Madrid"/>
    <s v="N/A"/>
    <n v="28034"/>
    <s v="Spain"/>
    <s v="EMEA"/>
    <s v="Freyre"/>
    <s v="Diego"/>
    <s v="Small"/>
  </r>
  <r>
    <n v="10158"/>
    <n v="22"/>
    <n v="67.03"/>
    <n v="1"/>
    <n v="1474.66"/>
    <d v="2003-10-10T00:00:00"/>
    <s v="Oct"/>
    <x v="0"/>
    <x v="3"/>
    <n v="10"/>
    <x v="0"/>
    <s v="Motorcycles"/>
    <n v="76"/>
    <s v="S24_2000"/>
    <s v="Baane Mini Imports"/>
    <s v="07-98 9555"/>
    <s v="Erling Skakkes gate 78"/>
    <s v="N/A"/>
    <s v="Stavern"/>
    <s v="N/A"/>
    <n v="4110"/>
    <s v="Norway"/>
    <s v="EMEA"/>
    <s v="Bergulfsen"/>
    <s v="Jonas"/>
    <s v="Small"/>
  </r>
  <r>
    <n v="10159"/>
    <n v="49"/>
    <n v="100"/>
    <n v="14"/>
    <n v="5205.2700000000004"/>
    <d v="2003-10-10T00:00:00"/>
    <s v="Oct"/>
    <x v="0"/>
    <x v="3"/>
    <n v="10"/>
    <x v="0"/>
    <s v="Motorcycles"/>
    <n v="95"/>
    <s v="S10_1678"/>
    <s v="Corporate Gift Ideas Co."/>
    <n v="6505551386"/>
    <s v="7734 Strong St."/>
    <s v="N/A"/>
    <s v="San Francisco"/>
    <s v="CA"/>
    <s v="N/A"/>
    <s v="USA"/>
    <s v="NA"/>
    <s v="Brown"/>
    <s v="Julie"/>
    <s v="Medium"/>
  </r>
  <r>
    <n v="10160"/>
    <n v="46"/>
    <n v="100"/>
    <n v="6"/>
    <n v="5294.14"/>
    <d v="2003-10-11T00:00:00"/>
    <s v="Oct"/>
    <x v="0"/>
    <x v="3"/>
    <n v="10"/>
    <x v="0"/>
    <s v="Classic Cars"/>
    <n v="117"/>
    <s v="S12_3380"/>
    <s v="Men 'R' US Retailers, Ltd."/>
    <n v="2155554369"/>
    <s v="6047 Douglas Av."/>
    <s v="N/A"/>
    <s v="Los Angeles"/>
    <s v="CA"/>
    <s v="N/A"/>
    <s v="USA"/>
    <s v="NA"/>
    <s v="Chandler"/>
    <s v="Michael"/>
    <s v="Medium"/>
  </r>
  <r>
    <n v="10161"/>
    <n v="28"/>
    <n v="100"/>
    <n v="12"/>
    <n v="3764.88"/>
    <d v="2003-10-17T00:00:00"/>
    <s v="Oct"/>
    <x v="0"/>
    <x v="3"/>
    <n v="10"/>
    <x v="0"/>
    <s v="Classic Cars"/>
    <n v="141"/>
    <s v="S18_1129"/>
    <s v="Heintze Collectables"/>
    <s v="86 21 3555"/>
    <s v="Smagsloget 45"/>
    <s v="N/A"/>
    <s v="Aaarhus"/>
    <s v="N/A"/>
    <n v="8200"/>
    <s v="Denmark"/>
    <s v="EMEA"/>
    <s v="Ibsen"/>
    <s v="Palle"/>
    <s v="Medium"/>
  </r>
  <r>
    <n v="10162"/>
    <n v="48"/>
    <n v="91.44"/>
    <n v="2"/>
    <n v="4389.12"/>
    <d v="2003-10-18T00:00:00"/>
    <s v="Oct"/>
    <x v="0"/>
    <x v="3"/>
    <n v="10"/>
    <x v="0"/>
    <s v="Vintage Cars"/>
    <n v="102"/>
    <s v="S18_1342"/>
    <s v="Corporate Gift Ideas Co."/>
    <n v="6505551386"/>
    <s v="7734 Strong St."/>
    <s v="N/A"/>
    <s v="San Francisco"/>
    <s v="CA"/>
    <s v="N/A"/>
    <s v="USA"/>
    <s v="NA"/>
    <s v="Brown"/>
    <s v="Julie"/>
    <s v="Medium"/>
  </r>
  <r>
    <n v="10163"/>
    <n v="21"/>
    <n v="100"/>
    <n v="1"/>
    <n v="4860.24"/>
    <d v="2003-10-20T00:00:00"/>
    <s v="Oct"/>
    <x v="0"/>
    <x v="3"/>
    <n v="10"/>
    <x v="0"/>
    <s v="Classic Cars"/>
    <n v="214"/>
    <s v="S10_1949"/>
    <s v="Classic Legends Inc."/>
    <n v="2125558493"/>
    <s v="5905 Pompton St."/>
    <s v="Suite 750"/>
    <s v="NYC"/>
    <s v="NY"/>
    <n v="10022"/>
    <s v="USA"/>
    <s v="NA"/>
    <s v="Hernandez"/>
    <s v="Maria"/>
    <s v="Medium"/>
  </r>
  <r>
    <n v="10164"/>
    <n v="21"/>
    <n v="100"/>
    <n v="2"/>
    <n v="3536.82"/>
    <d v="2003-10-21T00:00:00"/>
    <s v="Oct"/>
    <x v="1"/>
    <x v="3"/>
    <n v="10"/>
    <x v="0"/>
    <s v="Classic Cars"/>
    <n v="147"/>
    <s v="S10_4962"/>
    <s v="Mini Auto Werke"/>
    <s v="7675-3555"/>
    <s v="Kirchgasse 6"/>
    <s v="N/A"/>
    <s v="Graz"/>
    <s v="N/A"/>
    <n v="8010"/>
    <s v="Austria"/>
    <s v="EMEA"/>
    <s v="Mendel"/>
    <s v="Roland"/>
    <s v="Medium"/>
  </r>
  <r>
    <n v="10165"/>
    <n v="44"/>
    <n v="100"/>
    <n v="3"/>
    <n v="8594.52"/>
    <d v="2003-10-22T00:00:00"/>
    <s v="Oct"/>
    <x v="0"/>
    <x v="3"/>
    <n v="10"/>
    <x v="0"/>
    <s v="Classic Cars"/>
    <n v="207"/>
    <s v="S12_1108"/>
    <s v="Dragon Souveniers, Ltd."/>
    <s v="+65 221 7555"/>
    <s v="Bronz Sok., Bronz Apt. 3/6 Tesvikiye"/>
    <s v="N/A"/>
    <s v="Singapore"/>
    <s v="N/A"/>
    <n v="79903"/>
    <s v="Singapore"/>
    <s v="Japan"/>
    <s v="Natividad"/>
    <s v="Eric"/>
    <s v="Large"/>
  </r>
  <r>
    <n v="10166"/>
    <n v="43"/>
    <n v="100"/>
    <n v="2"/>
    <n v="6930.74"/>
    <d v="2003-10-21T00:00:00"/>
    <s v="Oct"/>
    <x v="0"/>
    <x v="3"/>
    <n v="10"/>
    <x v="0"/>
    <s v="Vintage Cars"/>
    <n v="136"/>
    <s v="S18_3140"/>
    <s v="FunGiftIdeas.com"/>
    <n v="5085552555"/>
    <s v="1785 First Street"/>
    <s v="N/A"/>
    <s v="New Bedford"/>
    <s v="MA"/>
    <n v="50553"/>
    <s v="USA"/>
    <s v="NA"/>
    <s v="Benitez"/>
    <s v="Violeta"/>
    <s v="Medium"/>
  </r>
  <r>
    <n v="10167"/>
    <n v="44"/>
    <n v="100"/>
    <n v="9"/>
    <n v="5924.16"/>
    <d v="2003-10-23T00:00:00"/>
    <s v="Oct"/>
    <x v="2"/>
    <x v="3"/>
    <n v="10"/>
    <x v="0"/>
    <s v="Classic Cars"/>
    <n v="136"/>
    <s v="S10_4757"/>
    <s v="Scandinavian Gift Ideas"/>
    <s v="0695-34 6555"/>
    <s v="?kergatan 24"/>
    <s v="N/A"/>
    <s v="Boras"/>
    <s v="N/A"/>
    <s v="S-844 67"/>
    <s v="Sweden"/>
    <s v="EMEA"/>
    <s v="Larsson"/>
    <s v="Maria"/>
    <s v="Medium"/>
  </r>
  <r>
    <n v="10168"/>
    <n v="36"/>
    <n v="96.66"/>
    <n v="1"/>
    <n v="3479.76"/>
    <d v="2003-10-28T00:00:00"/>
    <s v="Oct"/>
    <x v="0"/>
    <x v="3"/>
    <n v="10"/>
    <x v="0"/>
    <s v="Motorcycles"/>
    <n v="95"/>
    <s v="S10_1678"/>
    <s v="Technics Stores Inc."/>
    <n v="6505556809"/>
    <s v="9408 Furth Circle"/>
    <s v="N/A"/>
    <s v="Burlingame"/>
    <s v="CA"/>
    <n v="94217"/>
    <s v="USA"/>
    <s v="NA"/>
    <s v="Hirano"/>
    <s v="Juri"/>
    <s v="Medium"/>
  </r>
  <r>
    <n v="10169"/>
    <n v="30"/>
    <n v="100"/>
    <n v="2"/>
    <n v="5019.8999999999996"/>
    <d v="2003-11-04T00:00:00"/>
    <s v="Nov"/>
    <x v="0"/>
    <x v="3"/>
    <n v="11"/>
    <x v="0"/>
    <s v="Classic Cars"/>
    <n v="194"/>
    <s v="S12_1099"/>
    <s v="Anna's Decorations, Ltd"/>
    <s v="02 9936 8555"/>
    <s v="201 Miller Street"/>
    <s v="Level 15"/>
    <s v="North Sydney"/>
    <s v="NSW"/>
    <n v="2060"/>
    <s v="Australia"/>
    <s v="APAC"/>
    <s v="O'Hara"/>
    <s v="Anna"/>
    <s v="Medium"/>
  </r>
  <r>
    <n v="10170"/>
    <n v="47"/>
    <n v="100"/>
    <n v="4"/>
    <n v="5464.69"/>
    <d v="2003-11-04T00:00:00"/>
    <s v="Nov"/>
    <x v="0"/>
    <x v="3"/>
    <n v="11"/>
    <x v="0"/>
    <s v="Classic Cars"/>
    <n v="117"/>
    <s v="S12_3380"/>
    <s v="Mini Auto Werke"/>
    <s v="7675-3555"/>
    <s v="Kirchgasse 6"/>
    <s v="N/A"/>
    <s v="Graz"/>
    <s v="N/A"/>
    <n v="8010"/>
    <s v="Austria"/>
    <s v="EMEA"/>
    <s v="Mendel"/>
    <s v="Roland"/>
    <s v="Medium"/>
  </r>
  <r>
    <n v="10171"/>
    <n v="35"/>
    <n v="100"/>
    <n v="2"/>
    <n v="4508"/>
    <d v="2003-11-05T00:00:00"/>
    <s v="Nov"/>
    <x v="0"/>
    <x v="3"/>
    <n v="11"/>
    <x v="0"/>
    <s v="Classic Cars"/>
    <n v="141"/>
    <s v="S18_1129"/>
    <s v="Quebec Home Shopping Network"/>
    <s v="(514) 555-8054"/>
    <s v="43 rue St. Laurent"/>
    <s v="N/A"/>
    <s v="Montreal"/>
    <s v="Quebec"/>
    <s v="H1J 1C3"/>
    <s v="Canada"/>
    <s v="NA"/>
    <s v="Fresnisre"/>
    <s v="Jean"/>
    <s v="Medium"/>
  </r>
  <r>
    <n v="10172"/>
    <n v="42"/>
    <n v="100"/>
    <n v="6"/>
    <n v="4965.24"/>
    <d v="2003-11-05T00:00:00"/>
    <s v="Nov"/>
    <x v="0"/>
    <x v="3"/>
    <n v="11"/>
    <x v="0"/>
    <s v="Classic Cars"/>
    <n v="124"/>
    <s v="S18_1589"/>
    <s v="Gift Depot Inc."/>
    <n v="2035552570"/>
    <s v="25593 South Bay Ln."/>
    <s v="N/A"/>
    <s v="Bridgewater"/>
    <s v="CT"/>
    <n v="97562"/>
    <s v="USA"/>
    <s v="NA"/>
    <s v="King"/>
    <s v="Julie"/>
    <s v="Medium"/>
  </r>
  <r>
    <n v="10173"/>
    <n v="43"/>
    <n v="100"/>
    <n v="6"/>
    <n v="5036.16"/>
    <d v="2003-11-05T00:00:00"/>
    <s v="Nov"/>
    <x v="0"/>
    <x v="3"/>
    <n v="11"/>
    <x v="0"/>
    <s v="Vintage Cars"/>
    <n v="102"/>
    <s v="S18_1342"/>
    <s v="Rovelli Gifts"/>
    <s v="035-640555"/>
    <s v="Via Ludovico il Moro 22"/>
    <s v="N/A"/>
    <s v="Bergamo"/>
    <s v="N/A"/>
    <n v="24100"/>
    <s v="Italy"/>
    <s v="EMEA"/>
    <s v="Rovelli"/>
    <s v="Giovanni"/>
    <s v="Medium"/>
  </r>
  <r>
    <n v="10174"/>
    <n v="34"/>
    <n v="100"/>
    <n v="4"/>
    <n v="8014.82"/>
    <d v="2003-11-06T00:00:00"/>
    <s v="Nov"/>
    <x v="0"/>
    <x v="3"/>
    <n v="11"/>
    <x v="0"/>
    <s v="Classic Cars"/>
    <n v="214"/>
    <s v="S10_1949"/>
    <s v="Australian Gift Network, Co"/>
    <s v="61-7-3844-6555"/>
    <s v="31 Duncan St. West End"/>
    <s v="N/A"/>
    <s v="South Brisbane"/>
    <s v="Queensland"/>
    <n v="4101"/>
    <s v="Australia"/>
    <s v="APAC"/>
    <s v="Calaghan"/>
    <s v="Tony"/>
    <s v="Large"/>
  </r>
  <r>
    <n v="10175"/>
    <n v="33"/>
    <n v="100"/>
    <n v="9"/>
    <n v="5362.83"/>
    <d v="2003-11-06T00:00:00"/>
    <s v="Nov"/>
    <x v="0"/>
    <x v="3"/>
    <n v="11"/>
    <x v="0"/>
    <s v="Classic Cars"/>
    <n v="147"/>
    <s v="S10_4962"/>
    <s v="Stylish Desk Decors, Co."/>
    <s v="(171) 555-0297"/>
    <s v="35 King George"/>
    <s v="N/A"/>
    <s v="London"/>
    <s v="N/A"/>
    <s v="WX3 6FW"/>
    <s v="UK"/>
    <s v="EMEA"/>
    <s v="Brown"/>
    <s v="Ann"/>
    <s v="Medium"/>
  </r>
  <r>
    <n v="10176"/>
    <n v="33"/>
    <n v="100"/>
    <n v="2"/>
    <n v="7474.5"/>
    <d v="2003-11-06T00:00:00"/>
    <s v="Nov"/>
    <x v="0"/>
    <x v="3"/>
    <n v="11"/>
    <x v="0"/>
    <s v="Classic Cars"/>
    <n v="207"/>
    <s v="S12_1108"/>
    <s v="L'ordine Souveniers"/>
    <s v="0522-556555"/>
    <s v="Strada Provinciale 124"/>
    <s v="N/A"/>
    <s v="Reggio Emilia"/>
    <s v="N/A"/>
    <n v="42100"/>
    <s v="Italy"/>
    <s v="EMEA"/>
    <s v="Moroni"/>
    <s v="Maurizio"/>
    <s v="Large"/>
  </r>
  <r>
    <n v="10177"/>
    <n v="23"/>
    <n v="100"/>
    <n v="9"/>
    <n v="3675.63"/>
    <d v="2003-11-07T00:00:00"/>
    <s v="Nov"/>
    <x v="0"/>
    <x v="3"/>
    <n v="11"/>
    <x v="0"/>
    <s v="Vintage Cars"/>
    <n v="136"/>
    <s v="S18_3140"/>
    <s v="CAF Imports"/>
    <s v="+34 913 728 555"/>
    <s v="Merchants House, 27-30 Merchant's Quay"/>
    <s v="N/A"/>
    <s v="Madrid"/>
    <s v="N/A"/>
    <n v="28023"/>
    <s v="Spain"/>
    <s v="EMEA"/>
    <s v="Fernandez"/>
    <s v="Jesus"/>
    <s v="Medium"/>
  </r>
  <r>
    <n v="10178"/>
    <n v="24"/>
    <n v="100"/>
    <n v="12"/>
    <n v="3492.48"/>
    <d v="2003-11-08T00:00:00"/>
    <s v="Nov"/>
    <x v="0"/>
    <x v="3"/>
    <n v="11"/>
    <x v="0"/>
    <s v="Classic Cars"/>
    <n v="136"/>
    <s v="S10_4757"/>
    <s v="Alpha Cognac"/>
    <s v="61.77.6555"/>
    <s v="1 rue Alsace-Lorraine"/>
    <s v="N/A"/>
    <s v="Toulouse"/>
    <s v="N/A"/>
    <n v="31000"/>
    <s v="France"/>
    <s v="EMEA"/>
    <s v="Roulet"/>
    <s v="Annette"/>
    <s v="Medium"/>
  </r>
  <r>
    <n v="10180"/>
    <n v="29"/>
    <n v="86.13"/>
    <n v="9"/>
    <n v="2497.77"/>
    <d v="2003-11-11T00:00:00"/>
    <s v="Nov"/>
    <x v="0"/>
    <x v="3"/>
    <n v="11"/>
    <x v="0"/>
    <s v="Motorcycles"/>
    <n v="95"/>
    <s v="S10_1678"/>
    <s v="Daedalus Designs Imports"/>
    <s v="20.16.1555"/>
    <s v="184, chausse de Tournai"/>
    <s v="N/A"/>
    <s v="Lille"/>
    <s v="N/A"/>
    <n v="59000"/>
    <s v="France"/>
    <s v="EMEA"/>
    <s v="Rance"/>
    <s v="Martine"/>
    <s v="Small"/>
  </r>
  <r>
    <n v="10181"/>
    <n v="27"/>
    <n v="100"/>
    <n v="14"/>
    <n v="5411.07"/>
    <d v="2003-11-12T00:00:00"/>
    <s v="Nov"/>
    <x v="0"/>
    <x v="3"/>
    <n v="11"/>
    <x v="0"/>
    <s v="Classic Cars"/>
    <n v="194"/>
    <s v="S12_1099"/>
    <s v="Herkku Gifts"/>
    <s v="+47 2267 3215"/>
    <s v="Drammen 121, PR 744 Sentrum"/>
    <s v="N/A"/>
    <s v="Bergen"/>
    <s v="N/A"/>
    <s v="N 5804"/>
    <s v="Norway"/>
    <s v="EMEA"/>
    <s v="Oeztan"/>
    <s v="Veysel"/>
    <s v="Medium"/>
  </r>
  <r>
    <n v="10182"/>
    <n v="25"/>
    <n v="87.33"/>
    <n v="3"/>
    <n v="2183.25"/>
    <d v="2003-11-12T00:00:00"/>
    <s v="Nov"/>
    <x v="0"/>
    <x v="3"/>
    <n v="11"/>
    <x v="0"/>
    <s v="Vintage Cars"/>
    <n v="102"/>
    <s v="S18_1342"/>
    <s v="Mini Gifts Distributors Ltd."/>
    <n v="4155551450"/>
    <s v="5677 Strong St."/>
    <s v="N/A"/>
    <s v="San Rafael"/>
    <s v="CA"/>
    <n v="97562"/>
    <s v="USA"/>
    <s v="NA"/>
    <s v="Nelson"/>
    <s v="Valarie"/>
    <s v="Small"/>
  </r>
  <r>
    <n v="10183"/>
    <n v="23"/>
    <n v="100"/>
    <n v="8"/>
    <n v="5372.57"/>
    <d v="2003-11-13T00:00:00"/>
    <s v="Nov"/>
    <x v="0"/>
    <x v="3"/>
    <n v="11"/>
    <x v="0"/>
    <s v="Classic Cars"/>
    <n v="214"/>
    <s v="S10_1949"/>
    <s v="Classic Gift Ideas, Inc"/>
    <n v="2155554695"/>
    <s v="782 First Street"/>
    <s v="N/A"/>
    <s v="Philadelphia"/>
    <s v="PA"/>
    <n v="71270"/>
    <s v="USA"/>
    <s v="NA"/>
    <s v="Cervantes"/>
    <s v="Francisca"/>
    <s v="Medium"/>
  </r>
  <r>
    <n v="10184"/>
    <n v="37"/>
    <n v="100"/>
    <n v="6"/>
    <n v="4516.22"/>
    <d v="2003-11-14T00:00:00"/>
    <s v="Nov"/>
    <x v="0"/>
    <x v="3"/>
    <n v="11"/>
    <x v="0"/>
    <s v="Trucks and Buses"/>
    <n v="118"/>
    <s v="S12_4473"/>
    <s v="Iberia Gift Imports, Corp."/>
    <s v="(95) 555 82 82"/>
    <s v="C/ Romero, 33"/>
    <s v="N/A"/>
    <s v="Sevilla"/>
    <s v="N/A"/>
    <n v="41101"/>
    <s v="Spain"/>
    <s v="EMEA"/>
    <s v="Roel"/>
    <s v="Jose Pedro"/>
    <s v="Medium"/>
  </r>
  <r>
    <n v="10185"/>
    <n v="21"/>
    <n v="100"/>
    <n v="13"/>
    <n v="3883.74"/>
    <d v="2003-11-14T00:00:00"/>
    <s v="Nov"/>
    <x v="0"/>
    <x v="3"/>
    <n v="11"/>
    <x v="0"/>
    <s v="Classic Cars"/>
    <n v="207"/>
    <s v="S12_1108"/>
    <s v="Mini Creations Ltd."/>
    <n v="5085559555"/>
    <s v="4575 Hillside Dr."/>
    <s v="N/A"/>
    <s v="New Bedford"/>
    <s v="MA"/>
    <n v="50553"/>
    <s v="USA"/>
    <s v="NA"/>
    <s v="Tam"/>
    <s v="Wing C"/>
    <s v="Medium"/>
  </r>
  <r>
    <n v="10186"/>
    <n v="26"/>
    <n v="100"/>
    <n v="9"/>
    <n v="3854.24"/>
    <d v="2003-11-14T00:00:00"/>
    <s v="Nov"/>
    <x v="0"/>
    <x v="3"/>
    <n v="11"/>
    <x v="0"/>
    <s v="Classic Cars"/>
    <n v="136"/>
    <s v="S10_4757"/>
    <s v="Double Decker Gift Stores, Ltd"/>
    <s v="(171) 555-7555"/>
    <s v="120 Hanover Sq."/>
    <s v="N/A"/>
    <s v="London"/>
    <s v="N/A"/>
    <s v="WA1 1DP"/>
    <s v="UK"/>
    <s v="EMEA"/>
    <s v="Hardy"/>
    <s v="Thomas"/>
    <s v="Medium"/>
  </r>
  <r>
    <n v="10188"/>
    <n v="48"/>
    <n v="100"/>
    <n v="1"/>
    <n v="5512.32"/>
    <d v="2003-11-18T00:00:00"/>
    <s v="Nov"/>
    <x v="0"/>
    <x v="3"/>
    <n v="11"/>
    <x v="0"/>
    <s v="Motorcycles"/>
    <n v="95"/>
    <s v="S10_1678"/>
    <s v="Herkku Gifts"/>
    <s v="+47 2267 3215"/>
    <s v="Drammen 121, PR 744 Sentrum"/>
    <s v="N/A"/>
    <s v="Bergen"/>
    <s v="N/A"/>
    <s v="N 5804"/>
    <s v="Norway"/>
    <s v="EMEA"/>
    <s v="Oeztan"/>
    <s v="Veysel"/>
    <s v="Medium"/>
  </r>
  <r>
    <n v="10189"/>
    <n v="28"/>
    <n v="100"/>
    <n v="1"/>
    <n v="4512.4799999999996"/>
    <d v="2003-11-18T00:00:00"/>
    <s v="Nov"/>
    <x v="0"/>
    <x v="3"/>
    <n v="11"/>
    <x v="0"/>
    <s v="Motorcycles"/>
    <n v="150"/>
    <s v="S12_2823"/>
    <s v="Toys4GrownUps.com"/>
    <n v="6265557265"/>
    <s v="78934 Hillside Dr."/>
    <s v="N/A"/>
    <s v="Pasadena"/>
    <s v="CA"/>
    <n v="90003"/>
    <s v="USA"/>
    <s v="NA"/>
    <s v="Young"/>
    <s v="Julie"/>
    <s v="Medium"/>
  </r>
  <r>
    <n v="10190"/>
    <n v="42"/>
    <n v="76.19"/>
    <n v="3"/>
    <n v="3199.98"/>
    <d v="2003-11-19T00:00:00"/>
    <s v="Nov"/>
    <x v="0"/>
    <x v="3"/>
    <n v="11"/>
    <x v="0"/>
    <s v="Motorcycles"/>
    <n v="69"/>
    <s v="S24_2360"/>
    <s v="Euro Shopping Channel"/>
    <s v="(91) 555 94 44"/>
    <s v="C/ Moralzarzal, 86"/>
    <s v="N/A"/>
    <s v="Madrid"/>
    <s v="N/A"/>
    <n v="28034"/>
    <s v="Spain"/>
    <s v="EMEA"/>
    <s v="Freyre"/>
    <s v="Diego"/>
    <s v="Medium"/>
  </r>
  <r>
    <n v="10191"/>
    <n v="21"/>
    <n v="100"/>
    <n v="3"/>
    <n v="3840.9"/>
    <d v="2003-11-20T00:00:00"/>
    <s v="Nov"/>
    <x v="0"/>
    <x v="3"/>
    <n v="11"/>
    <x v="0"/>
    <s v="Classic Cars"/>
    <n v="194"/>
    <s v="S12_1099"/>
    <s v="Toms Spezialitten, Ltd"/>
    <s v="0221-5554327"/>
    <s v="Mehrheimerstr. 369"/>
    <s v="N/A"/>
    <s v="Koln"/>
    <s v="N/A"/>
    <n v="50739"/>
    <s v="Germany"/>
    <s v="EMEA"/>
    <s v="Pfalzheim"/>
    <s v="Henriette"/>
    <s v="Medium"/>
  </r>
  <r>
    <n v="10192"/>
    <n v="27"/>
    <n v="100"/>
    <n v="16"/>
    <n v="3544.56"/>
    <d v="2003-11-20T00:00:00"/>
    <s v="Nov"/>
    <x v="0"/>
    <x v="3"/>
    <n v="11"/>
    <x v="0"/>
    <s v="Classic Cars"/>
    <n v="115"/>
    <s v="S12_4675"/>
    <s v="Online Diecast Creations Co."/>
    <n v="6035558647"/>
    <s v="2304 Long Airport Avenue"/>
    <s v="N/A"/>
    <s v="Nashua"/>
    <s v="NH"/>
    <n v="62005"/>
    <s v="USA"/>
    <s v="NA"/>
    <s v="Young"/>
    <s v="Valarie"/>
    <s v="Medium"/>
  </r>
  <r>
    <n v="10193"/>
    <n v="28"/>
    <n v="100"/>
    <n v="7"/>
    <n v="3106.88"/>
    <d v="2003-11-21T00:00:00"/>
    <s v="Nov"/>
    <x v="0"/>
    <x v="3"/>
    <n v="11"/>
    <x v="0"/>
    <s v="Vintage Cars"/>
    <n v="102"/>
    <s v="S18_1342"/>
    <s v="Australian Collectables, Ltd"/>
    <s v="61-9-3844-6555"/>
    <s v="7 Allen Street"/>
    <s v="N/A"/>
    <s v="Glen Waverly"/>
    <s v="Victoria"/>
    <n v="3150"/>
    <s v="Australia"/>
    <s v="APAC"/>
    <s v="Connery"/>
    <s v="Sean"/>
    <s v="Medium"/>
  </r>
  <r>
    <n v="10194"/>
    <n v="42"/>
    <n v="100"/>
    <n v="11"/>
    <n v="7290.36"/>
    <d v="2003-11-25T00:00:00"/>
    <s v="Nov"/>
    <x v="0"/>
    <x v="3"/>
    <n v="11"/>
    <x v="0"/>
    <s v="Classic Cars"/>
    <n v="214"/>
    <s v="S10_1949"/>
    <s v="Saveley &amp; Henriot, Co."/>
    <s v="78.32.5555"/>
    <s v="2, rue du Commerce"/>
    <s v="N/A"/>
    <s v="Lyon"/>
    <s v="N/A"/>
    <n v="69004"/>
    <s v="France"/>
    <s v="EMEA"/>
    <s v="Saveley"/>
    <s v="Mary"/>
    <s v="Large"/>
  </r>
  <r>
    <n v="10195"/>
    <n v="49"/>
    <n v="100"/>
    <n v="6"/>
    <n v="6445.46"/>
    <d v="2003-11-25T00:00:00"/>
    <s v="Nov"/>
    <x v="0"/>
    <x v="3"/>
    <n v="11"/>
    <x v="0"/>
    <s v="Trucks and Buses"/>
    <n v="118"/>
    <s v="S12_4473"/>
    <s v="Mini Classics"/>
    <n v="9145554562"/>
    <s v="3758 North Pendale Street"/>
    <s v="N/A"/>
    <s v="White Plains"/>
    <s v="NY"/>
    <n v="24067"/>
    <s v="USA"/>
    <s v="NA"/>
    <s v="Frick"/>
    <s v="Steve"/>
    <s v="Medium"/>
  </r>
  <r>
    <n v="10196"/>
    <n v="47"/>
    <n v="100"/>
    <n v="5"/>
    <n v="8887.7000000000007"/>
    <d v="2003-11-26T00:00:00"/>
    <s v="Nov"/>
    <x v="0"/>
    <x v="3"/>
    <n v="11"/>
    <x v="0"/>
    <s v="Classic Cars"/>
    <n v="207"/>
    <s v="S12_1108"/>
    <s v="Super Scale Inc."/>
    <n v="2035559545"/>
    <s v="567 North Pendale Street"/>
    <s v="N/A"/>
    <s v="New Haven"/>
    <s v="CT"/>
    <n v="97823"/>
    <s v="USA"/>
    <s v="NA"/>
    <s v="Murphy"/>
    <s v="Leslie"/>
    <s v="Large"/>
  </r>
  <r>
    <n v="10197"/>
    <n v="45"/>
    <n v="100"/>
    <n v="6"/>
    <n v="5324.4"/>
    <d v="2003-11-26T00:00:00"/>
    <s v="Nov"/>
    <x v="0"/>
    <x v="3"/>
    <n v="11"/>
    <x v="0"/>
    <s v="Classic Cars"/>
    <n v="136"/>
    <s v="S10_4757"/>
    <s v="Enaco Distributors"/>
    <s v="(93) 203 4555"/>
    <s v="Rambla de Catalu¤a, 23"/>
    <s v="N/A"/>
    <s v="Barcelona"/>
    <s v="N/A"/>
    <n v="8022"/>
    <s v="Spain"/>
    <s v="EMEA"/>
    <s v="Saavedra"/>
    <s v="Eduardo"/>
    <s v="Medium"/>
  </r>
  <r>
    <n v="10198"/>
    <n v="42"/>
    <n v="100"/>
    <n v="4"/>
    <n v="7483.98"/>
    <d v="2003-11-27T00:00:00"/>
    <s v="Nov"/>
    <x v="0"/>
    <x v="3"/>
    <n v="11"/>
    <x v="0"/>
    <s v="Planes"/>
    <n v="157"/>
    <s v="S18_1662"/>
    <s v="Cruz &amp; Sons Co."/>
    <s v="+63 2 555 3587"/>
    <s v="15 McCallum Street - NatWest Center #13-03"/>
    <s v="N/A"/>
    <s v="Makati City"/>
    <s v="N/A"/>
    <s v="1227 MM"/>
    <s v="Philippines"/>
    <s v="Japan"/>
    <s v="Cruz"/>
    <s v="Arnold"/>
    <s v="Large"/>
  </r>
  <r>
    <n v="10199"/>
    <n v="29"/>
    <n v="38.4"/>
    <n v="1"/>
    <n v="1113.5999999999999"/>
    <d v="2003-12-01T00:00:00"/>
    <s v="Dec"/>
    <x v="0"/>
    <x v="3"/>
    <n v="12"/>
    <x v="0"/>
    <s v="Vintage Cars"/>
    <n v="43"/>
    <s v="S50_1341"/>
    <s v="West Coast Collectables Co."/>
    <n v="3105553722"/>
    <s v="3675 Furth Circle"/>
    <s v="N/A"/>
    <s v="Burbank"/>
    <s v="CA"/>
    <n v="94019"/>
    <s v="USA"/>
    <s v="NA"/>
    <s v="Thompson"/>
    <s v="Steve"/>
    <s v="Small"/>
  </r>
  <r>
    <n v="10201"/>
    <n v="22"/>
    <n v="98.57"/>
    <n v="2"/>
    <n v="2168.54"/>
    <d v="2003-12-01T00:00:00"/>
    <s v="Dec"/>
    <x v="0"/>
    <x v="3"/>
    <n v="12"/>
    <x v="0"/>
    <s v="Motorcycles"/>
    <n v="95"/>
    <s v="S10_1678"/>
    <s v="Mini Wheels Co."/>
    <n v="6505555787"/>
    <s v="5557 North Pendale Street"/>
    <s v="N/A"/>
    <s v="San Francisco"/>
    <s v="CA"/>
    <s v="N/A"/>
    <s v="USA"/>
    <s v="NA"/>
    <s v="Murphy"/>
    <s v="Julie"/>
    <s v="Small"/>
  </r>
  <r>
    <n v="10203"/>
    <n v="20"/>
    <n v="100"/>
    <n v="8"/>
    <n v="3930.4"/>
    <d v="2003-12-02T00:00:00"/>
    <s v="Dec"/>
    <x v="0"/>
    <x v="3"/>
    <n v="12"/>
    <x v="0"/>
    <s v="Classic Cars"/>
    <n v="194"/>
    <s v="S12_1099"/>
    <s v="Euro Shopping Channel"/>
    <s v="(91) 555 94 44"/>
    <s v="C/ Moralzarzal, 86"/>
    <s v="N/A"/>
    <s v="Madrid"/>
    <s v="N/A"/>
    <n v="28034"/>
    <s v="Spain"/>
    <s v="EMEA"/>
    <s v="Freyre"/>
    <s v="Diego"/>
    <s v="Medium"/>
  </r>
  <r>
    <n v="10204"/>
    <n v="42"/>
    <n v="100"/>
    <n v="17"/>
    <n v="6182.4"/>
    <d v="2003-12-02T00:00:00"/>
    <s v="Dec"/>
    <x v="0"/>
    <x v="3"/>
    <n v="12"/>
    <x v="0"/>
    <s v="Classic Cars"/>
    <n v="141"/>
    <s v="S18_1129"/>
    <s v="Muscle Machine Inc"/>
    <n v="2125557413"/>
    <s v="4092 Furth Circle"/>
    <s v="Suite 400"/>
    <s v="NYC"/>
    <s v="NY"/>
    <n v="10022"/>
    <s v="USA"/>
    <s v="NA"/>
    <s v="Young"/>
    <s v="Jeff"/>
    <s v="Medium"/>
  </r>
  <r>
    <n v="10205"/>
    <n v="36"/>
    <n v="100"/>
    <n v="2"/>
    <n v="3735.72"/>
    <d v="2003-12-03T00:00:00"/>
    <s v="Dec"/>
    <x v="0"/>
    <x v="3"/>
    <n v="12"/>
    <x v="0"/>
    <s v="Vintage Cars"/>
    <n v="102"/>
    <s v="S18_1342"/>
    <s v="Euro Shopping Channel"/>
    <s v="(91) 555 94 44"/>
    <s v="C/ Moralzarzal, 86"/>
    <s v="N/A"/>
    <s v="Madrid"/>
    <s v="N/A"/>
    <n v="28034"/>
    <s v="Spain"/>
    <s v="EMEA"/>
    <s v="Freyre"/>
    <s v="Diego"/>
    <s v="Medium"/>
  </r>
  <r>
    <n v="10206"/>
    <n v="47"/>
    <n v="100"/>
    <n v="6"/>
    <n v="9064.89"/>
    <d v="2003-12-05T00:00:00"/>
    <s v="Dec"/>
    <x v="0"/>
    <x v="3"/>
    <n v="12"/>
    <x v="0"/>
    <s v="Classic Cars"/>
    <n v="214"/>
    <s v="S10_1949"/>
    <s v="Canadian Gift Exchange Network"/>
    <s v="(604) 555-3392"/>
    <s v="1900 Oak St."/>
    <s v="N/A"/>
    <s v="Vancouver"/>
    <s v="BC"/>
    <s v="V3F 2K1"/>
    <s v="Canada"/>
    <s v="NA"/>
    <s v="Tannamuri"/>
    <s v="Yoshi"/>
    <s v="Large"/>
  </r>
  <r>
    <n v="10207"/>
    <n v="31"/>
    <n v="100"/>
    <n v="15"/>
    <n v="4076.19"/>
    <d v="2003-12-09T00:00:00"/>
    <s v="Dec"/>
    <x v="0"/>
    <x v="3"/>
    <n v="12"/>
    <x v="0"/>
    <s v="Classic Cars"/>
    <n v="147"/>
    <s v="S10_4962"/>
    <s v="Diecast Collectables"/>
    <n v="6175552555"/>
    <s v="6251 Ingle Ln."/>
    <s v="N/A"/>
    <s v="Boston"/>
    <s v="MA"/>
    <n v="51003"/>
    <s v="USA"/>
    <s v="NA"/>
    <s v="Franco"/>
    <s v="Valarie"/>
    <s v="Medium"/>
  </r>
  <r>
    <n v="10208"/>
    <n v="46"/>
    <n v="100"/>
    <n v="13"/>
    <n v="8602.92"/>
    <d v="2004-01-02T00:00:00"/>
    <s v="Jan"/>
    <x v="0"/>
    <x v="0"/>
    <n v="1"/>
    <x v="1"/>
    <s v="Classic Cars"/>
    <n v="207"/>
    <s v="S12_1108"/>
    <s v="Saveley &amp; Henriot, Co."/>
    <s v="78.32.5555"/>
    <s v="2, rue du Commerce"/>
    <s v="N/A"/>
    <s v="Lyon"/>
    <s v="N/A"/>
    <n v="69004"/>
    <s v="France"/>
    <s v="EMEA"/>
    <s v="Saveley"/>
    <s v="Mary"/>
    <s v="Large"/>
  </r>
  <r>
    <n v="10209"/>
    <n v="39"/>
    <n v="100"/>
    <n v="8"/>
    <n v="5197.92"/>
    <d v="2004-01-09T00:00:00"/>
    <s v="Jan"/>
    <x v="0"/>
    <x v="0"/>
    <n v="1"/>
    <x v="1"/>
    <s v="Classic Cars"/>
    <n v="136"/>
    <s v="S10_4757"/>
    <s v="Men 'R' US Retailers, Ltd."/>
    <n v="2155554369"/>
    <s v="6047 Douglas Av."/>
    <s v="N/A"/>
    <s v="Los Angeles"/>
    <s v="CA"/>
    <s v="N/A"/>
    <s v="USA"/>
    <s v="NA"/>
    <s v="Chandler"/>
    <s v="Michael"/>
    <s v="Medium"/>
  </r>
  <r>
    <n v="10210"/>
    <n v="23"/>
    <n v="100"/>
    <n v="2"/>
    <n v="3009.09"/>
    <d v="2004-01-12T00:00:00"/>
    <s v="Jan"/>
    <x v="0"/>
    <x v="0"/>
    <n v="1"/>
    <x v="1"/>
    <s v="Motorcycles"/>
    <n v="118"/>
    <s v="S10_2016"/>
    <s v="Osaka Souveniers Co."/>
    <s v="+81 06 6342 5555"/>
    <s v="Dojima Avanza 4F, 1-6-20 Dojima, Kita-ku"/>
    <s v="N/A"/>
    <s v="Osaka"/>
    <s v="Osaka"/>
    <s v="530-0003"/>
    <s v="Japan"/>
    <s v="Japan"/>
    <s v="Kentary"/>
    <s v="Mory"/>
    <s v="Medium"/>
  </r>
  <r>
    <n v="10211"/>
    <n v="41"/>
    <n v="100"/>
    <n v="14"/>
    <n v="4708.4399999999996"/>
    <d v="2004-01-15T00:00:00"/>
    <s v="Jan"/>
    <x v="0"/>
    <x v="0"/>
    <n v="1"/>
    <x v="1"/>
    <s v="Motorcycles"/>
    <n v="95"/>
    <s v="S10_1678"/>
    <s v="Auto Canal Petit"/>
    <s v="(1) 47.55.6555"/>
    <s v="25, rue Lauriston"/>
    <s v="N/A"/>
    <s v="Paris"/>
    <s v="N/A"/>
    <n v="75016"/>
    <s v="France"/>
    <s v="EMEA"/>
    <s v="Perrier"/>
    <s v="Dominique"/>
    <s v="Medium"/>
  </r>
  <r>
    <n v="10212"/>
    <n v="39"/>
    <n v="100"/>
    <n v="16"/>
    <n v="4946.76"/>
    <d v="2004-01-16T00:00:00"/>
    <s v="Jan"/>
    <x v="0"/>
    <x v="0"/>
    <n v="1"/>
    <x v="1"/>
    <s v="Classic Cars"/>
    <n v="117"/>
    <s v="S12_3380"/>
    <s v="Euro Shopping Channel"/>
    <s v="(91) 555 94 44"/>
    <s v="C/ Moralzarzal, 86"/>
    <s v="N/A"/>
    <s v="Madrid"/>
    <s v="N/A"/>
    <n v="28034"/>
    <s v="Spain"/>
    <s v="EMEA"/>
    <s v="Freyre"/>
    <s v="Diego"/>
    <s v="Medium"/>
  </r>
  <r>
    <n v="10213"/>
    <n v="38"/>
    <n v="94.79"/>
    <n v="1"/>
    <n v="3602.02"/>
    <d v="2004-01-22T00:00:00"/>
    <s v="Jan"/>
    <x v="0"/>
    <x v="0"/>
    <n v="1"/>
    <x v="1"/>
    <s v="Vintage Cars"/>
    <n v="92"/>
    <s v="S18_4409"/>
    <s v="Double Decker Gift Stores, Ltd"/>
    <s v="(171) 555-7555"/>
    <s v="120 Hanover Sq."/>
    <s v="N/A"/>
    <s v="London"/>
    <s v="N/A"/>
    <s v="WA1 1DP"/>
    <s v="UK"/>
    <s v="EMEA"/>
    <s v="Hardy"/>
    <s v="Thomas"/>
    <s v="Medium"/>
  </r>
  <r>
    <n v="10214"/>
    <n v="30"/>
    <n v="100"/>
    <n v="7"/>
    <n v="5967"/>
    <d v="2004-01-26T00:00:00"/>
    <s v="Jan"/>
    <x v="0"/>
    <x v="0"/>
    <n v="1"/>
    <x v="1"/>
    <s v="Vintage Cars"/>
    <n v="170"/>
    <s v="S18_1749"/>
    <s v="Corrida Auto Replicas, Ltd"/>
    <s v="(91) 555 22 82"/>
    <s v="C/ Araquil, 67"/>
    <s v="N/A"/>
    <s v="Madrid"/>
    <s v="N/A"/>
    <n v="28023"/>
    <s v="Spain"/>
    <s v="EMEA"/>
    <s v="Sommer"/>
    <s v="Mart¡n"/>
    <s v="Medium"/>
  </r>
  <r>
    <n v="10215"/>
    <n v="35"/>
    <n v="100"/>
    <n v="3"/>
    <n v="6075.3"/>
    <d v="2004-01-29T00:00:00"/>
    <s v="Jan"/>
    <x v="0"/>
    <x v="0"/>
    <n v="1"/>
    <x v="1"/>
    <s v="Classic Cars"/>
    <n v="214"/>
    <s v="S10_1949"/>
    <s v="West Coast Collectables Co."/>
    <n v="3105553722"/>
    <s v="3675 Furth Circle"/>
    <s v="N/A"/>
    <s v="Burbank"/>
    <s v="CA"/>
    <n v="94019"/>
    <s v="USA"/>
    <s v="NA"/>
    <s v="Thompson"/>
    <s v="Steve"/>
    <s v="Medium"/>
  </r>
  <r>
    <n v="10216"/>
    <n v="43"/>
    <n v="100"/>
    <n v="1"/>
    <n v="5759.42"/>
    <d v="2004-02-02T00:00:00"/>
    <s v="Feb"/>
    <x v="0"/>
    <x v="0"/>
    <n v="2"/>
    <x v="1"/>
    <s v="Trucks and Buses"/>
    <n v="136"/>
    <s v="S12_1666"/>
    <s v="Auto Assoc. &amp; Cie."/>
    <s v="30.59.8555"/>
    <s v="67, avenue de l'Europe"/>
    <s v="N/A"/>
    <s v="Versailles"/>
    <s v="N/A"/>
    <n v="78000"/>
    <s v="France"/>
    <s v="EMEA"/>
    <s v="Tonini"/>
    <s v="Daniel"/>
    <s v="Medium"/>
  </r>
  <r>
    <n v="10217"/>
    <n v="48"/>
    <n v="100"/>
    <n v="4"/>
    <n v="7020.48"/>
    <d v="2004-02-04T00:00:00"/>
    <s v="Feb"/>
    <x v="0"/>
    <x v="0"/>
    <n v="2"/>
    <x v="1"/>
    <s v="Classic Cars"/>
    <n v="147"/>
    <s v="S10_4962"/>
    <s v="Handji Gifts&amp; Co"/>
    <s v="+65 224 1555"/>
    <s v="Village Close - 106 Linden Road Sandown"/>
    <s v="2nd Floor"/>
    <s v="Singapore"/>
    <s v="N/A"/>
    <n v="69045"/>
    <s v="Singapore"/>
    <s v="APAC"/>
    <s v="Victorino"/>
    <s v="Wendy"/>
    <s v="Large"/>
  </r>
  <r>
    <n v="10219"/>
    <n v="48"/>
    <n v="100"/>
    <n v="2"/>
    <n v="4891.68"/>
    <d v="2004-02-10T00:00:00"/>
    <s v="Feb"/>
    <x v="0"/>
    <x v="0"/>
    <n v="2"/>
    <x v="1"/>
    <s v="Trucks and Buses"/>
    <n v="118"/>
    <s v="S12_4473"/>
    <s v="Signal Collectibles Ltd."/>
    <n v="4155554312"/>
    <s v="2793 Furth Circle"/>
    <s v="N/A"/>
    <s v="Brisbane"/>
    <s v="CA"/>
    <n v="94217"/>
    <s v="USA"/>
    <s v="NA"/>
    <s v="Taylor"/>
    <s v="Sue"/>
    <s v="Medium"/>
  </r>
  <r>
    <n v="10220"/>
    <n v="32"/>
    <n v="100"/>
    <n v="2"/>
    <n v="7181.44"/>
    <d v="2004-02-12T00:00:00"/>
    <s v="Feb"/>
    <x v="0"/>
    <x v="0"/>
    <n v="2"/>
    <x v="1"/>
    <s v="Classic Cars"/>
    <n v="207"/>
    <s v="S12_1108"/>
    <s v="Clover Collections, Co."/>
    <s v="+353 1862 1555"/>
    <s v="25 Maiden Lane"/>
    <s v="Floor No. 4"/>
    <s v="Dublin"/>
    <s v="N/A"/>
    <n v="2"/>
    <s v="Ireland"/>
    <s v="EMEA"/>
    <s v="Cassidy"/>
    <s v="Dean"/>
    <s v="Large"/>
  </r>
  <r>
    <n v="10221"/>
    <n v="33"/>
    <n v="100"/>
    <n v="3"/>
    <n v="4417.38"/>
    <d v="2004-02-18T00:00:00"/>
    <s v="Feb"/>
    <x v="0"/>
    <x v="0"/>
    <n v="2"/>
    <x v="1"/>
    <s v="Vintage Cars"/>
    <n v="136"/>
    <s v="S18_3140"/>
    <s v="Petit Auto"/>
    <s v="(02) 5554 67"/>
    <s v="Rue Joseph-Bens 532"/>
    <s v="N/A"/>
    <s v="Bruxelles"/>
    <s v="N/A"/>
    <s v="B-1180"/>
    <s v="Belgium"/>
    <s v="EMEA"/>
    <s v="Dewey"/>
    <s v="Catherine"/>
    <s v="Medium"/>
  </r>
  <r>
    <n v="10222"/>
    <n v="49"/>
    <n v="100"/>
    <n v="12"/>
    <n v="5997.6"/>
    <d v="2004-02-19T00:00:00"/>
    <s v="Feb"/>
    <x v="0"/>
    <x v="0"/>
    <n v="2"/>
    <x v="1"/>
    <s v="Classic Cars"/>
    <n v="136"/>
    <s v="S10_4757"/>
    <s v="Collectable Mini Designs Co."/>
    <n v="7605558146"/>
    <s v="361 Furth Circle"/>
    <s v="N/A"/>
    <s v="San Diego"/>
    <s v="CA"/>
    <n v="91217"/>
    <s v="USA"/>
    <s v="NA"/>
    <s v="Thompson"/>
    <s v="Valarie"/>
    <s v="Medium"/>
  </r>
  <r>
    <n v="10223"/>
    <n v="37"/>
    <n v="100"/>
    <n v="1"/>
    <n v="3965.66"/>
    <d v="2004-02-20T00:00:00"/>
    <s v="Feb"/>
    <x v="0"/>
    <x v="0"/>
    <n v="2"/>
    <x v="1"/>
    <s v="Motorcycles"/>
    <n v="95"/>
    <s v="S10_1678"/>
    <s v="Australian Collectors, Co."/>
    <s v="03 9520 4555"/>
    <s v="636 St Kilda Road"/>
    <s v="Level 3"/>
    <s v="Melbourne"/>
    <s v="Victoria"/>
    <n v="3004"/>
    <s v="Australia"/>
    <s v="APAC"/>
    <s v="Ferguson"/>
    <s v="Peter"/>
    <s v="Medium"/>
  </r>
  <r>
    <n v="10224"/>
    <n v="43"/>
    <n v="100"/>
    <n v="6"/>
    <n v="6087.94"/>
    <d v="2004-02-21T00:00:00"/>
    <s v="Feb"/>
    <x v="0"/>
    <x v="0"/>
    <n v="2"/>
    <x v="1"/>
    <s v="Motorcycles"/>
    <n v="150"/>
    <s v="S12_2823"/>
    <s v="Daedalus Designs Imports"/>
    <s v="20.16.1555"/>
    <s v="184, chausse de Tournai"/>
    <s v="N/A"/>
    <s v="Lille"/>
    <s v="N/A"/>
    <n v="59000"/>
    <s v="France"/>
    <s v="EMEA"/>
    <s v="Rance"/>
    <s v="Martine"/>
    <s v="Medium"/>
  </r>
  <r>
    <n v="10225"/>
    <n v="27"/>
    <n v="100"/>
    <n v="9"/>
    <n v="4517.91"/>
    <d v="2004-02-22T00:00:00"/>
    <s v="Feb"/>
    <x v="0"/>
    <x v="0"/>
    <n v="2"/>
    <x v="1"/>
    <s v="Classic Cars"/>
    <n v="194"/>
    <s v="S12_1099"/>
    <s v="Vida Sport, Ltd"/>
    <s v="0897-034555"/>
    <s v="Grenzacherweg 237"/>
    <s v="N/A"/>
    <s v="Gensve"/>
    <s v="N/A"/>
    <n v="1203"/>
    <s v="Switzerland"/>
    <s v="EMEA"/>
    <s v="Holz"/>
    <s v="Michael"/>
    <s v="Medium"/>
  </r>
  <r>
    <n v="10226"/>
    <n v="38"/>
    <n v="100"/>
    <n v="4"/>
    <n v="4161.38"/>
    <d v="2004-02-26T00:00:00"/>
    <s v="Feb"/>
    <x v="0"/>
    <x v="0"/>
    <n v="2"/>
    <x v="1"/>
    <s v="Classic Cars"/>
    <n v="124"/>
    <s v="S18_1589"/>
    <s v="Collectable Mini Designs Co."/>
    <n v="7605558146"/>
    <s v="361 Furth Circle"/>
    <s v="N/A"/>
    <s v="San Diego"/>
    <s v="CA"/>
    <n v="91217"/>
    <s v="USA"/>
    <s v="NA"/>
    <s v="Thompson"/>
    <s v="Valarie"/>
    <s v="Medium"/>
  </r>
  <r>
    <n v="10227"/>
    <n v="25"/>
    <n v="100"/>
    <n v="3"/>
    <n v="2953.75"/>
    <d v="2004-03-02T00:00:00"/>
    <s v="Mar"/>
    <x v="0"/>
    <x v="0"/>
    <n v="3"/>
    <x v="1"/>
    <s v="Vintage Cars"/>
    <n v="102"/>
    <s v="S18_1342"/>
    <s v="Saveley &amp; Henriot, Co."/>
    <s v="78.32.5555"/>
    <s v="2, rue du Commerce"/>
    <s v="N/A"/>
    <s v="Lyon"/>
    <s v="N/A"/>
    <n v="69004"/>
    <s v="France"/>
    <s v="EMEA"/>
    <s v="Saveley"/>
    <s v="Mary"/>
    <s v="Small"/>
  </r>
  <r>
    <n v="10228"/>
    <n v="29"/>
    <n v="100"/>
    <n v="2"/>
    <n v="6463.23"/>
    <d v="2004-03-10T00:00:00"/>
    <s v="Mar"/>
    <x v="0"/>
    <x v="0"/>
    <n v="3"/>
    <x v="1"/>
    <s v="Classic Cars"/>
    <n v="214"/>
    <s v="S10_1949"/>
    <s v="Cambridge Collectables Co."/>
    <n v="6175555555"/>
    <s v="4658 Baden Av."/>
    <s v="N/A"/>
    <s v="Cambridge"/>
    <s v="MA"/>
    <n v="51247"/>
    <s v="USA"/>
    <s v="NA"/>
    <s v="Tseng"/>
    <s v="Kyung"/>
    <s v="Medium"/>
  </r>
  <r>
    <n v="10229"/>
    <n v="50"/>
    <n v="100"/>
    <n v="9"/>
    <n v="6426.5"/>
    <d v="2004-03-11T00:00:00"/>
    <s v="Mar"/>
    <x v="0"/>
    <x v="0"/>
    <n v="3"/>
    <x v="1"/>
    <s v="Classic Cars"/>
    <n v="147"/>
    <s v="S10_4962"/>
    <s v="Mini Gifts Distributors Ltd."/>
    <n v="4155551450"/>
    <s v="5677 Strong St."/>
    <s v="N/A"/>
    <s v="San Rafael"/>
    <s v="CA"/>
    <n v="97562"/>
    <s v="USA"/>
    <s v="NA"/>
    <s v="Nelson"/>
    <s v="Valarie"/>
    <s v="Medium"/>
  </r>
  <r>
    <n v="10230"/>
    <n v="43"/>
    <n v="100"/>
    <n v="1"/>
    <n v="7016.31"/>
    <d v="2004-03-15T00:00:00"/>
    <s v="Mar"/>
    <x v="0"/>
    <x v="0"/>
    <n v="3"/>
    <x v="1"/>
    <s v="Classic Cars"/>
    <n v="151"/>
    <s v="S12_3148"/>
    <s v="Blauer See Auto, Co."/>
    <s v="+49 69 66 90 2555"/>
    <s v="Lyonerstr. 34"/>
    <s v="N/A"/>
    <s v="Frankfurt"/>
    <s v="N/A"/>
    <n v="60528"/>
    <s v="Germany"/>
    <s v="EMEA"/>
    <s v="Keitel"/>
    <s v="Roland"/>
    <s v="Large"/>
  </r>
  <r>
    <n v="10231"/>
    <n v="42"/>
    <n v="100"/>
    <n v="2"/>
    <n v="8378.58"/>
    <d v="2004-03-19T00:00:00"/>
    <s v="Mar"/>
    <x v="0"/>
    <x v="0"/>
    <n v="3"/>
    <x v="1"/>
    <s v="Classic Cars"/>
    <n v="207"/>
    <s v="S12_1108"/>
    <s v="CAF Imports"/>
    <s v="+34 913 728 555"/>
    <s v="Merchants House, 27-30 Merchant's Quay"/>
    <s v="N/A"/>
    <s v="Madrid"/>
    <s v="N/A"/>
    <n v="28023"/>
    <s v="Spain"/>
    <s v="EMEA"/>
    <s v="Fernandez"/>
    <s v="Jesus"/>
    <s v="Large"/>
  </r>
  <r>
    <n v="10232"/>
    <n v="22"/>
    <n v="100"/>
    <n v="6"/>
    <n v="3606.02"/>
    <d v="2004-03-20T00:00:00"/>
    <s v="Mar"/>
    <x v="0"/>
    <x v="0"/>
    <n v="3"/>
    <x v="1"/>
    <s v="Vintage Cars"/>
    <n v="136"/>
    <s v="S18_3140"/>
    <s v="giftsbymail.co.uk"/>
    <s v="(198) 555-8888"/>
    <s v="Garden House Crowther Way"/>
    <s v="N/A"/>
    <s v="Cowes"/>
    <s v="Isle of Wight"/>
    <s v="PO31 7PJ"/>
    <s v="UK"/>
    <s v="EMEA"/>
    <s v="Bennett"/>
    <s v="Helen"/>
    <s v="Medium"/>
  </r>
  <r>
    <n v="10233"/>
    <n v="40"/>
    <n v="94.71"/>
    <n v="2"/>
    <n v="3788.4"/>
    <d v="2004-03-29T00:00:00"/>
    <s v="Mar"/>
    <x v="0"/>
    <x v="0"/>
    <n v="3"/>
    <x v="1"/>
    <s v="Vintage Cars"/>
    <n v="88"/>
    <s v="S24_3151"/>
    <s v="Tekni Collectables Inc."/>
    <n v="2015559350"/>
    <s v="7476 Moss Rd."/>
    <s v="N/A"/>
    <s v="Newark"/>
    <s v="NJ"/>
    <n v="94019"/>
    <s v="USA"/>
    <s v="NA"/>
    <s v="Brown"/>
    <s v="William"/>
    <s v="Medium"/>
  </r>
  <r>
    <n v="10235"/>
    <n v="24"/>
    <n v="76.03"/>
    <n v="3"/>
    <n v="1824.72"/>
    <d v="2004-04-02T00:00:00"/>
    <s v="Apr"/>
    <x v="0"/>
    <x v="1"/>
    <n v="4"/>
    <x v="1"/>
    <s v="Planes"/>
    <n v="84"/>
    <s v="S18_2581"/>
    <s v="Royal Canadian Collectables, Ltd."/>
    <s v="(604) 555-4555"/>
    <s v="23 Tsawassen Blvd."/>
    <s v="N/A"/>
    <s v="Tsawassen"/>
    <s v="BC"/>
    <s v="T2F 8M4"/>
    <s v="Canada"/>
    <s v="NA"/>
    <s v="Lincoln"/>
    <s v="Elizabeth"/>
    <s v="Small"/>
  </r>
  <r>
    <n v="10236"/>
    <n v="22"/>
    <n v="100"/>
    <n v="1"/>
    <n v="2852.08"/>
    <d v="2004-04-03T00:00:00"/>
    <s v="Apr"/>
    <x v="0"/>
    <x v="1"/>
    <n v="4"/>
    <x v="1"/>
    <s v="Motorcycles"/>
    <n v="118"/>
    <s v="S10_2016"/>
    <s v="Motor Mint Distributors Inc."/>
    <n v="2155559857"/>
    <s v="11328 Douglas Av."/>
    <s v="N/A"/>
    <s v="Philadelphia"/>
    <s v="PA"/>
    <n v="71270"/>
    <s v="USA"/>
    <s v="NA"/>
    <s v="Hernandez"/>
    <s v="Rosa"/>
    <s v="Small"/>
  </r>
  <r>
    <n v="10237"/>
    <n v="23"/>
    <n v="100"/>
    <n v="7"/>
    <n v="2333.12"/>
    <d v="2004-04-05T00:00:00"/>
    <s v="Apr"/>
    <x v="0"/>
    <x v="1"/>
    <n v="4"/>
    <x v="1"/>
    <s v="Motorcycles"/>
    <n v="95"/>
    <s v="S10_1678"/>
    <s v="Vitachrome Inc."/>
    <n v="2125551500"/>
    <s v="2678 Kingston Rd."/>
    <s v="Suite 101"/>
    <s v="NYC"/>
    <s v="NY"/>
    <n v="10022"/>
    <s v="USA"/>
    <s v="NA"/>
    <s v="Frick"/>
    <s v="Michael"/>
    <s v="Small"/>
  </r>
  <r>
    <n v="10238"/>
    <n v="28"/>
    <n v="100"/>
    <n v="3"/>
    <n v="5774.72"/>
    <d v="2004-04-09T00:00:00"/>
    <s v="Apr"/>
    <x v="0"/>
    <x v="1"/>
    <n v="4"/>
    <x v="1"/>
    <s v="Classic Cars"/>
    <n v="194"/>
    <s v="S12_1099"/>
    <s v="Danish Wholesale Imports"/>
    <s v="31 12 3555"/>
    <s v="Vinb'ltet 34"/>
    <s v="N/A"/>
    <s v="Kobenhavn"/>
    <s v="N/A"/>
    <n v="1734"/>
    <s v="Denmark"/>
    <s v="EMEA"/>
    <s v="Petersen"/>
    <s v="Jytte"/>
    <s v="Medium"/>
  </r>
  <r>
    <n v="10239"/>
    <n v="21"/>
    <n v="93.28"/>
    <n v="5"/>
    <n v="1958.88"/>
    <d v="2004-04-12T00:00:00"/>
    <s v="Apr"/>
    <x v="0"/>
    <x v="1"/>
    <n v="4"/>
    <x v="1"/>
    <s v="Classic Cars"/>
    <n v="115"/>
    <s v="S12_4675"/>
    <s v="Oulu Toy Supplies, Inc."/>
    <s v="981-443655"/>
    <s v="Torikatu 38"/>
    <s v="N/A"/>
    <s v="Oulu"/>
    <s v="N/A"/>
    <n v="90110"/>
    <s v="Finland"/>
    <s v="EMEA"/>
    <s v="Koskitalo"/>
    <s v="Pirkko"/>
    <s v="Small"/>
  </r>
  <r>
    <n v="10240"/>
    <n v="41"/>
    <n v="100"/>
    <n v="3"/>
    <n v="5628.89"/>
    <d v="2004-04-13T00:00:00"/>
    <s v="Apr"/>
    <x v="0"/>
    <x v="1"/>
    <n v="4"/>
    <x v="1"/>
    <s v="Classic Cars"/>
    <n v="141"/>
    <s v="S18_1129"/>
    <s v="Osaka Souveniers Co."/>
    <s v="+81 06 6342 5555"/>
    <s v="Dojima Avanza 4F, 1-6-20 Dojima, Kita-ku"/>
    <s v="N/A"/>
    <s v="Osaka"/>
    <s v="Osaka"/>
    <s v="530-0003"/>
    <s v="Japan"/>
    <s v="Japan"/>
    <s v="Kentary"/>
    <s v="Mory"/>
    <s v="Medium"/>
  </r>
  <r>
    <n v="10241"/>
    <n v="21"/>
    <n v="100"/>
    <n v="11"/>
    <n v="2508.66"/>
    <d v="2004-04-13T00:00:00"/>
    <s v="Apr"/>
    <x v="0"/>
    <x v="1"/>
    <n v="4"/>
    <x v="1"/>
    <s v="Classic Cars"/>
    <n v="124"/>
    <s v="S18_1589"/>
    <s v="Mini Caravy"/>
    <s v="88.60.1555"/>
    <s v="24, place Kluber"/>
    <s v="N/A"/>
    <s v="Strasbourg"/>
    <s v="N/A"/>
    <n v="67000"/>
    <s v="France"/>
    <s v="EMEA"/>
    <s v="Citeaux"/>
    <s v="Frederique"/>
    <s v="Small"/>
  </r>
  <r>
    <n v="10242"/>
    <n v="46"/>
    <n v="36.93"/>
    <n v="1"/>
    <n v="1698.78"/>
    <d v="2004-04-20T00:00:00"/>
    <s v="Apr"/>
    <x v="0"/>
    <x v="1"/>
    <n v="4"/>
    <x v="1"/>
    <s v="Vintage Cars"/>
    <n v="41"/>
    <s v="S24_3969"/>
    <s v="Microscale Inc."/>
    <n v="2125551957"/>
    <s v="5290 North Pendale Street"/>
    <s v="Suite 200"/>
    <s v="NYC"/>
    <s v="NY"/>
    <n v="10022"/>
    <s v="USA"/>
    <s v="NA"/>
    <s v="Kuo"/>
    <s v="Kee"/>
    <s v="Small"/>
  </r>
  <r>
    <n v="10243"/>
    <n v="47"/>
    <n v="100"/>
    <n v="2"/>
    <n v="6154.18"/>
    <d v="2004-04-26T00:00:00"/>
    <s v="Apr"/>
    <x v="0"/>
    <x v="1"/>
    <n v="4"/>
    <x v="1"/>
    <s v="Vintage Cars"/>
    <n v="127"/>
    <s v="S18_2325"/>
    <s v="Diecast Collectables"/>
    <n v="6175552555"/>
    <s v="6251 Ingle Ln."/>
    <s v="N/A"/>
    <s v="Boston"/>
    <s v="MA"/>
    <n v="51003"/>
    <s v="USA"/>
    <s v="NA"/>
    <s v="Franco"/>
    <s v="Valarie"/>
    <s v="Medium"/>
  </r>
  <r>
    <n v="10244"/>
    <n v="40"/>
    <n v="100"/>
    <n v="7"/>
    <n v="4684.8"/>
    <d v="2004-04-29T00:00:00"/>
    <s v="Apr"/>
    <x v="0"/>
    <x v="1"/>
    <n v="4"/>
    <x v="1"/>
    <s v="Vintage Cars"/>
    <n v="102"/>
    <s v="S18_1342"/>
    <s v="Euro Shopping Channel"/>
    <s v="(91) 555 94 44"/>
    <s v="C/ Moralzarzal, 86"/>
    <s v="N/A"/>
    <s v="Madrid"/>
    <s v="N/A"/>
    <n v="28034"/>
    <s v="Spain"/>
    <s v="EMEA"/>
    <s v="Freyre"/>
    <s v="Diego"/>
    <s v="Medium"/>
  </r>
  <r>
    <n v="10245"/>
    <n v="34"/>
    <n v="100"/>
    <n v="9"/>
    <n v="6120.34"/>
    <d v="2004-05-04T00:00:00"/>
    <s v="May"/>
    <x v="0"/>
    <x v="1"/>
    <n v="5"/>
    <x v="1"/>
    <s v="Classic Cars"/>
    <n v="214"/>
    <s v="S10_1949"/>
    <s v="Super Scale Inc."/>
    <n v="2035559545"/>
    <s v="567 North Pendale Street"/>
    <s v="N/A"/>
    <s v="New Haven"/>
    <s v="CT"/>
    <n v="97823"/>
    <s v="USA"/>
    <s v="NA"/>
    <s v="Murphy"/>
    <s v="Leslie"/>
    <s v="Medium"/>
  </r>
  <r>
    <n v="10246"/>
    <n v="46"/>
    <n v="100"/>
    <n v="5"/>
    <n v="5069.66"/>
    <d v="2004-05-05T00:00:00"/>
    <s v="May"/>
    <x v="0"/>
    <x v="1"/>
    <n v="5"/>
    <x v="1"/>
    <s v="Trucks and Buses"/>
    <n v="118"/>
    <s v="S12_4473"/>
    <s v="Euro Shopping Channel"/>
    <s v="(91) 555 94 44"/>
    <s v="C/ Moralzarzal, 86"/>
    <s v="N/A"/>
    <s v="Madrid"/>
    <s v="N/A"/>
    <n v="28034"/>
    <s v="Spain"/>
    <s v="EMEA"/>
    <s v="Freyre"/>
    <s v="Diego"/>
    <s v="Medium"/>
  </r>
  <r>
    <n v="10247"/>
    <n v="44"/>
    <n v="100"/>
    <n v="2"/>
    <n v="10606.2"/>
    <d v="2004-05-05T00:00:00"/>
    <s v="May"/>
    <x v="0"/>
    <x v="1"/>
    <n v="5"/>
    <x v="1"/>
    <s v="Classic Cars"/>
    <n v="207"/>
    <s v="S12_1108"/>
    <s v="Suominen Souveniers"/>
    <s v="+358 9 8045 555"/>
    <s v="Software Engineering Center, SEC Oy"/>
    <s v="N/A"/>
    <s v="Espoo"/>
    <s v="N/A"/>
    <s v="FIN-02271"/>
    <s v="Finland"/>
    <s v="EMEA"/>
    <s v="Suominen"/>
    <s v="Kalle"/>
    <s v="Large"/>
  </r>
  <r>
    <n v="10248"/>
    <n v="20"/>
    <n v="100"/>
    <n v="3"/>
    <n v="2910.4"/>
    <d v="2004-05-07T00:00:00"/>
    <s v="May"/>
    <x v="2"/>
    <x v="1"/>
    <n v="5"/>
    <x v="1"/>
    <s v="Classic Cars"/>
    <n v="136"/>
    <s v="S10_4757"/>
    <s v="Land of Toys Inc."/>
    <n v="2125557818"/>
    <s v="897 Long Airport Avenue"/>
    <s v="N/A"/>
    <s v="NYC"/>
    <s v="NY"/>
    <n v="10022"/>
    <s v="USA"/>
    <s v="NA"/>
    <s v="Yu"/>
    <s v="Kwai"/>
    <s v="Small"/>
  </r>
  <r>
    <n v="10249"/>
    <n v="46"/>
    <n v="100"/>
    <n v="5"/>
    <n v="5600.5"/>
    <d v="2004-05-08T00:00:00"/>
    <s v="May"/>
    <x v="0"/>
    <x v="1"/>
    <n v="5"/>
    <x v="1"/>
    <s v="Vintage Cars"/>
    <n v="105"/>
    <s v="S18_3856"/>
    <s v="Cambridge Collectables Co."/>
    <n v="6175555555"/>
    <s v="4658 Baden Av."/>
    <s v="N/A"/>
    <s v="Cambridge"/>
    <s v="MA"/>
    <n v="51247"/>
    <s v="USA"/>
    <s v="NA"/>
    <s v="Tseng"/>
    <s v="Kyung"/>
    <s v="Medium"/>
  </r>
  <r>
    <n v="10250"/>
    <n v="45"/>
    <n v="100"/>
    <n v="14"/>
    <n v="8160.3"/>
    <d v="2004-05-11T00:00:00"/>
    <s v="May"/>
    <x v="0"/>
    <x v="1"/>
    <n v="5"/>
    <x v="1"/>
    <s v="Planes"/>
    <n v="157"/>
    <s v="S18_1662"/>
    <s v="The Sharp Gifts Warehouse"/>
    <n v="4085553659"/>
    <s v="3086 Ingle Ln."/>
    <s v="N/A"/>
    <s v="San Jose"/>
    <s v="CA"/>
    <n v="94217"/>
    <s v="USA"/>
    <s v="NA"/>
    <s v="Frick"/>
    <s v="Sue"/>
    <s v="Large"/>
  </r>
  <r>
    <n v="10251"/>
    <n v="28"/>
    <n v="100"/>
    <n v="2"/>
    <n v="3188.64"/>
    <d v="2004-05-18T00:00:00"/>
    <s v="May"/>
    <x v="0"/>
    <x v="1"/>
    <n v="5"/>
    <x v="1"/>
    <s v="Motorcycles"/>
    <n v="95"/>
    <s v="S10_1678"/>
    <s v="Tekni Collectables Inc."/>
    <n v="2015559350"/>
    <s v="7476 Moss Rd."/>
    <s v="N/A"/>
    <s v="Newark"/>
    <s v="NJ"/>
    <n v="94019"/>
    <s v="USA"/>
    <s v="NA"/>
    <s v="Brown"/>
    <s v="William"/>
    <s v="Medium"/>
  </r>
  <r>
    <n v="10252"/>
    <n v="20"/>
    <n v="76.39"/>
    <n v="2"/>
    <n v="1527.8"/>
    <d v="2004-05-26T00:00:00"/>
    <s v="May"/>
    <x v="0"/>
    <x v="1"/>
    <n v="5"/>
    <x v="1"/>
    <s v="Classic Cars"/>
    <n v="80"/>
    <s v="S18_3278"/>
    <s v="Auto Canal Petit"/>
    <s v="(1) 47.55.6555"/>
    <s v="25, rue Lauriston"/>
    <s v="N/A"/>
    <s v="Paris"/>
    <s v="N/A"/>
    <n v="75016"/>
    <s v="France"/>
    <s v="EMEA"/>
    <s v="Perrier"/>
    <s v="Dominique"/>
    <s v="Small"/>
  </r>
  <r>
    <n v="10253"/>
    <n v="24"/>
    <n v="100"/>
    <n v="13"/>
    <n v="3922.56"/>
    <d v="2004-06-01T00:00:00"/>
    <s v="Jun"/>
    <x v="2"/>
    <x v="1"/>
    <n v="6"/>
    <x v="1"/>
    <s v="Classic Cars"/>
    <n v="194"/>
    <s v="S12_1099"/>
    <s v="UK Collectables, Ltd."/>
    <s v="(171) 555-2282"/>
    <s v="Berkeley Gardens 12  Brewery"/>
    <s v="N/A"/>
    <s v="Liverpool"/>
    <s v="N/A"/>
    <s v="WX1 6LT"/>
    <s v="UK"/>
    <s v="EMEA"/>
    <s v="Devon"/>
    <s v="Elizabeth"/>
    <s v="Medium"/>
  </r>
  <r>
    <n v="10255"/>
    <n v="24"/>
    <n v="100"/>
    <n v="1"/>
    <n v="3726"/>
    <d v="2004-06-04T00:00:00"/>
    <s v="Jun"/>
    <x v="0"/>
    <x v="1"/>
    <n v="6"/>
    <x v="1"/>
    <s v="Vintage Cars"/>
    <n v="168"/>
    <s v="S18_2795"/>
    <s v="Mini Caravy"/>
    <s v="88.60.1555"/>
    <s v="24, place Kluber"/>
    <s v="N/A"/>
    <s v="Strasbourg"/>
    <s v="N/A"/>
    <n v="67000"/>
    <s v="France"/>
    <s v="EMEA"/>
    <s v="Citeaux"/>
    <s v="Frederique"/>
    <s v="Medium"/>
  </r>
  <r>
    <n v="10256"/>
    <n v="34"/>
    <n v="95.55"/>
    <n v="2"/>
    <n v="3248.7"/>
    <d v="2004-06-08T00:00:00"/>
    <s v="Jun"/>
    <x v="0"/>
    <x v="1"/>
    <n v="6"/>
    <x v="1"/>
    <s v="Vintage Cars"/>
    <n v="102"/>
    <s v="S18_1342"/>
    <s v="Danish Wholesale Imports"/>
    <s v="31 12 3555"/>
    <s v="Vinb'ltet 34"/>
    <s v="N/A"/>
    <s v="Kobenhavn"/>
    <s v="N/A"/>
    <n v="1734"/>
    <s v="Denmark"/>
    <s v="EMEA"/>
    <s v="Petersen"/>
    <s v="Jytte"/>
    <s v="Medium"/>
  </r>
  <r>
    <n v="10257"/>
    <n v="50"/>
    <n v="88.14"/>
    <n v="1"/>
    <n v="4407"/>
    <d v="2004-06-14T00:00:00"/>
    <s v="Jun"/>
    <x v="0"/>
    <x v="1"/>
    <n v="6"/>
    <x v="1"/>
    <s v="Vintage Cars"/>
    <n v="101"/>
    <s v="S18_2949"/>
    <s v="The Sharp Gifts Warehouse"/>
    <n v="4085553659"/>
    <s v="3086 Ingle Ln."/>
    <s v="N/A"/>
    <s v="San Jose"/>
    <s v="CA"/>
    <n v="94217"/>
    <s v="USA"/>
    <s v="NA"/>
    <s v="Frick"/>
    <s v="Sue"/>
    <s v="Medium"/>
  </r>
  <r>
    <n v="10258"/>
    <n v="32"/>
    <n v="100"/>
    <n v="6"/>
    <n v="7680.64"/>
    <d v="2004-06-15T00:00:00"/>
    <s v="Jun"/>
    <x v="0"/>
    <x v="1"/>
    <n v="6"/>
    <x v="1"/>
    <s v="Classic Cars"/>
    <n v="214"/>
    <s v="S10_1949"/>
    <s v="Tokyo Collectables, Ltd"/>
    <s v="+81 3 3584 0555"/>
    <s v="2-2-8 Roppongi"/>
    <s v="N/A"/>
    <s v="Minato-ku"/>
    <s v="Tokyo"/>
    <s v="106-0032"/>
    <s v="Japan"/>
    <s v="Japan"/>
    <s v="Shimamura"/>
    <s v="Akiko"/>
    <s v="Large"/>
  </r>
  <r>
    <n v="10259"/>
    <n v="26"/>
    <n v="100"/>
    <n v="12"/>
    <n v="4033.38"/>
    <d v="2004-06-15T00:00:00"/>
    <s v="Jun"/>
    <x v="0"/>
    <x v="1"/>
    <n v="6"/>
    <x v="1"/>
    <s v="Classic Cars"/>
    <n v="147"/>
    <s v="S10_4962"/>
    <s v="Handji Gifts&amp; Co"/>
    <s v="+65 224 1555"/>
    <s v="Village Close - 106 Linden Road Sandown"/>
    <s v="2nd Floor"/>
    <s v="Singapore"/>
    <s v="N/A"/>
    <n v="69045"/>
    <s v="Singapore"/>
    <s v="APAC"/>
    <s v="Victorino"/>
    <s v="Wendy"/>
    <s v="Medium"/>
  </r>
  <r>
    <n v="10261"/>
    <n v="27"/>
    <n v="100"/>
    <n v="1"/>
    <n v="3378.24"/>
    <d v="2004-06-17T00:00:00"/>
    <s v="Jun"/>
    <x v="0"/>
    <x v="1"/>
    <n v="6"/>
    <x v="1"/>
    <s v="Classic Cars"/>
    <n v="136"/>
    <s v="S10_4757"/>
    <s v="Quebec Home Shopping Network"/>
    <s v="(514) 555-8054"/>
    <s v="43 rue St. Laurent"/>
    <s v="N/A"/>
    <s v="Montreal"/>
    <s v="Quebec"/>
    <s v="H1J 1C3"/>
    <s v="Canada"/>
    <s v="NA"/>
    <s v="Fresnisre"/>
    <s v="Jean"/>
    <s v="Medium"/>
  </r>
  <r>
    <n v="10262"/>
    <n v="49"/>
    <n v="100"/>
    <n v="9"/>
    <n v="6567.96"/>
    <d v="2004-06-24T00:00:00"/>
    <s v="Jun"/>
    <x v="2"/>
    <x v="1"/>
    <n v="6"/>
    <x v="1"/>
    <s v="Planes"/>
    <n v="157"/>
    <s v="S18_1662"/>
    <s v="Euro Shopping Channel"/>
    <s v="(91) 555 94 44"/>
    <s v="C/ Moralzarzal, 86"/>
    <s v="N/A"/>
    <s v="Madrid"/>
    <s v="N/A"/>
    <n v="28034"/>
    <s v="Spain"/>
    <s v="EMEA"/>
    <s v="Freyre"/>
    <s v="Diego"/>
    <s v="Medium"/>
  </r>
  <r>
    <n v="10263"/>
    <n v="34"/>
    <n v="100"/>
    <n v="2"/>
    <n v="3676.76"/>
    <d v="2004-06-28T00:00:00"/>
    <s v="Jun"/>
    <x v="0"/>
    <x v="1"/>
    <n v="6"/>
    <x v="1"/>
    <s v="Motorcycles"/>
    <n v="95"/>
    <s v="S10_1678"/>
    <s v="Gift Depot Inc."/>
    <n v="2035552570"/>
    <s v="25593 South Bay Ln."/>
    <s v="N/A"/>
    <s v="Bridgewater"/>
    <s v="CT"/>
    <n v="97562"/>
    <s v="USA"/>
    <s v="NA"/>
    <s v="King"/>
    <s v="Julie"/>
    <s v="Medium"/>
  </r>
  <r>
    <n v="10264"/>
    <n v="48"/>
    <n v="54.71"/>
    <n v="3"/>
    <n v="2626.08"/>
    <d v="2004-06-30T00:00:00"/>
    <s v="Jun"/>
    <x v="0"/>
    <x v="1"/>
    <n v="6"/>
    <x v="1"/>
    <s v="Motorcycles"/>
    <n v="62"/>
    <s v="S18_3782"/>
    <s v="Gifts4AllAges.com"/>
    <n v="6175559555"/>
    <s v="8616 Spinnaker Dr."/>
    <s v="N/A"/>
    <s v="Boston"/>
    <s v="MA"/>
    <n v="51003"/>
    <s v="USA"/>
    <s v="NA"/>
    <s v="Yoshido"/>
    <s v="Juri"/>
    <s v="Small"/>
  </r>
  <r>
    <n v="10265"/>
    <n v="45"/>
    <n v="86.84"/>
    <n v="2"/>
    <n v="3907.8"/>
    <d v="2004-07-02T00:00:00"/>
    <s v="Jul"/>
    <x v="0"/>
    <x v="2"/>
    <n v="7"/>
    <x v="1"/>
    <s v="Classic Cars"/>
    <n v="80"/>
    <s v="S18_3278"/>
    <s v="Australian Collectables, Ltd"/>
    <s v="61-9-3844-6555"/>
    <s v="7 Allen Street"/>
    <s v="N/A"/>
    <s v="Glen Waverly"/>
    <s v="Victoria"/>
    <n v="3150"/>
    <s v="Australia"/>
    <s v="APAC"/>
    <s v="Connery"/>
    <s v="Sean"/>
    <s v="Medium"/>
  </r>
  <r>
    <n v="10266"/>
    <n v="44"/>
    <n v="100"/>
    <n v="14"/>
    <n v="9160.36"/>
    <d v="2004-07-06T00:00:00"/>
    <s v="Jul"/>
    <x v="0"/>
    <x v="2"/>
    <n v="7"/>
    <x v="1"/>
    <s v="Classic Cars"/>
    <n v="194"/>
    <s v="S12_1099"/>
    <s v="L'ordine Souveniers"/>
    <s v="0522-556555"/>
    <s v="Strada Provinciale 124"/>
    <s v="N/A"/>
    <s v="Reggio Emilia"/>
    <s v="N/A"/>
    <n v="42100"/>
    <s v="Italy"/>
    <s v="EMEA"/>
    <s v="Moroni"/>
    <s v="Maurizio"/>
    <s v="Large"/>
  </r>
  <r>
    <n v="10267"/>
    <n v="36"/>
    <n v="75.55"/>
    <n v="1"/>
    <n v="2719.8"/>
    <d v="2004-07-07T00:00:00"/>
    <s v="Jul"/>
    <x v="0"/>
    <x v="2"/>
    <n v="7"/>
    <x v="1"/>
    <s v="Classic Cars"/>
    <n v="71"/>
    <s v="S18_4933"/>
    <s v="Muscle Machine Inc"/>
    <n v="2125557413"/>
    <s v="4092 Furth Circle"/>
    <s v="Suite 400"/>
    <s v="NYC"/>
    <s v="NY"/>
    <n v="10022"/>
    <s v="USA"/>
    <s v="NA"/>
    <s v="Young"/>
    <s v="Jeff"/>
    <s v="Small"/>
  </r>
  <r>
    <n v="10269"/>
    <n v="32"/>
    <n v="63.08"/>
    <n v="1"/>
    <n v="2018.56"/>
    <d v="2004-07-16T00:00:00"/>
    <s v="Jul"/>
    <x v="0"/>
    <x v="2"/>
    <n v="7"/>
    <x v="1"/>
    <s v="Vintage Cars"/>
    <n v="62"/>
    <s v="S18_2957"/>
    <s v="Salzburg Collectables"/>
    <s v="6562-9555"/>
    <s v="Geislweg 14"/>
    <s v="N/A"/>
    <s v="Salzburg"/>
    <s v="N/A"/>
    <n v="5020"/>
    <s v="Austria"/>
    <s v="EMEA"/>
    <s v="Pipps"/>
    <s v="Georg"/>
    <s v="Small"/>
  </r>
  <r>
    <n v="10270"/>
    <n v="21"/>
    <n v="100"/>
    <n v="9"/>
    <n v="4905.3900000000003"/>
    <d v="2004-07-19T00:00:00"/>
    <s v="Jul"/>
    <x v="0"/>
    <x v="2"/>
    <n v="7"/>
    <x v="1"/>
    <s v="Classic Cars"/>
    <n v="214"/>
    <s v="S10_1949"/>
    <s v="Souveniers And Things Co."/>
    <s v="+61 2 9495 8555"/>
    <s v="Monitor Money Building, 815 Pacific Hwy"/>
    <s v="Level 6"/>
    <s v="Chatswood"/>
    <s v="NSW"/>
    <n v="2067"/>
    <s v="Australia"/>
    <s v="APAC"/>
    <s v="Huxley"/>
    <s v="Adrian"/>
    <s v="Medium"/>
  </r>
  <r>
    <n v="10271"/>
    <n v="31"/>
    <n v="97.17"/>
    <n v="5"/>
    <n v="3012.27"/>
    <d v="2004-07-20T00:00:00"/>
    <s v="Jul"/>
    <x v="0"/>
    <x v="2"/>
    <n v="7"/>
    <x v="1"/>
    <s v="Trucks and Buses"/>
    <n v="118"/>
    <s v="S12_4473"/>
    <s v="Mini Gifts Distributors Ltd."/>
    <n v="4155551450"/>
    <s v="5677 Strong St."/>
    <s v="N/A"/>
    <s v="San Rafael"/>
    <s v="CA"/>
    <n v="97562"/>
    <s v="USA"/>
    <s v="NA"/>
    <s v="Nelson"/>
    <s v="Valarie"/>
    <s v="Medium"/>
  </r>
  <r>
    <n v="10272"/>
    <n v="35"/>
    <n v="100"/>
    <n v="2"/>
    <n v="5818.4"/>
    <d v="2004-07-20T00:00:00"/>
    <s v="Jul"/>
    <x v="0"/>
    <x v="2"/>
    <n v="7"/>
    <x v="1"/>
    <s v="Classic Cars"/>
    <n v="207"/>
    <s v="S12_1108"/>
    <s v="Diecast Classics Inc."/>
    <n v="2155551555"/>
    <s v="7586 Pompton St."/>
    <s v="N/A"/>
    <s v="Allentown"/>
    <s v="PA"/>
    <n v="70267"/>
    <s v="USA"/>
    <s v="NA"/>
    <s v="Yu"/>
    <s v="Kyung"/>
    <s v="Medium"/>
  </r>
  <r>
    <n v="10273"/>
    <n v="30"/>
    <n v="100"/>
    <n v="4"/>
    <n v="3508.8"/>
    <d v="2004-07-21T00:00:00"/>
    <s v="Jul"/>
    <x v="0"/>
    <x v="2"/>
    <n v="7"/>
    <x v="1"/>
    <s v="Classic Cars"/>
    <n v="136"/>
    <s v="S10_4757"/>
    <s v="Petit Auto"/>
    <s v="(02) 5554 67"/>
    <s v="Rue Joseph-Bens 532"/>
    <s v="N/A"/>
    <s v="Bruxelles"/>
    <s v="N/A"/>
    <s v="B-1180"/>
    <s v="Belgium"/>
    <s v="EMEA"/>
    <s v="Dewey"/>
    <s v="Catherine"/>
    <s v="Medium"/>
  </r>
  <r>
    <n v="10274"/>
    <n v="41"/>
    <n v="100"/>
    <n v="1"/>
    <n v="6724"/>
    <d v="2004-07-21T00:00:00"/>
    <s v="Jul"/>
    <x v="0"/>
    <x v="2"/>
    <n v="7"/>
    <x v="1"/>
    <s v="Planes"/>
    <n v="157"/>
    <s v="S18_1662"/>
    <s v="Collectables For Less Inc."/>
    <n v="6175558555"/>
    <s v="7825 Douglas Av."/>
    <s v="N/A"/>
    <s v="Brickhaven"/>
    <s v="MA"/>
    <n v="58339"/>
    <s v="USA"/>
    <s v="NA"/>
    <s v="Nelson"/>
    <s v="Allen"/>
    <s v="Medium"/>
  </r>
  <r>
    <n v="10275"/>
    <n v="45"/>
    <n v="92.83"/>
    <n v="1"/>
    <n v="4177.3500000000004"/>
    <d v="2004-07-23T00:00:00"/>
    <s v="Jul"/>
    <x v="0"/>
    <x v="2"/>
    <n v="7"/>
    <x v="1"/>
    <s v="Motorcycles"/>
    <n v="95"/>
    <s v="S10_1678"/>
    <s v="La Rochelle Gifts"/>
    <s v="40.67.8555"/>
    <s v="67, rue des Cinquante Otages"/>
    <s v="N/A"/>
    <s v="Nantes"/>
    <s v="N/A"/>
    <n v="44000"/>
    <s v="France"/>
    <s v="EMEA"/>
    <s v="Labrune"/>
    <s v="Janine"/>
    <s v="Medium"/>
  </r>
  <r>
    <n v="10276"/>
    <n v="50"/>
    <n v="100"/>
    <n v="3"/>
    <n v="9631"/>
    <d v="2004-08-02T00:00:00"/>
    <s v="Aug"/>
    <x v="0"/>
    <x v="2"/>
    <n v="8"/>
    <x v="1"/>
    <s v="Classic Cars"/>
    <n v="194"/>
    <s v="S12_1099"/>
    <s v="Online Mini Collectables"/>
    <n v="6175557555"/>
    <s v="7635 Spinnaker Dr."/>
    <s v="N/A"/>
    <s v="Brickhaven"/>
    <s v="MA"/>
    <n v="58339"/>
    <s v="USA"/>
    <s v="NA"/>
    <s v="Barajas"/>
    <s v="Miguel"/>
    <s v="Large"/>
  </r>
  <r>
    <n v="10277"/>
    <n v="28"/>
    <n v="100"/>
    <n v="1"/>
    <n v="3127.88"/>
    <d v="2004-08-04T00:00:00"/>
    <s v="Aug"/>
    <x v="0"/>
    <x v="2"/>
    <n v="8"/>
    <x v="1"/>
    <s v="Classic Cars"/>
    <n v="115"/>
    <s v="S12_4675"/>
    <s v="Dragon Souveniers, Ltd."/>
    <s v="+65 221 7555"/>
    <s v="Bronz Sok., Bronz Apt. 3/6 Tesvikiye"/>
    <s v="N/A"/>
    <s v="Singapore"/>
    <s v="N/A"/>
    <n v="79903"/>
    <s v="Singapore"/>
    <s v="Japan"/>
    <s v="Natividad"/>
    <s v="Eric"/>
    <s v="Medium"/>
  </r>
  <r>
    <n v="10278"/>
    <n v="34"/>
    <n v="100"/>
    <n v="6"/>
    <n v="4667.8599999999997"/>
    <d v="2004-08-06T00:00:00"/>
    <s v="Aug"/>
    <x v="0"/>
    <x v="2"/>
    <n v="8"/>
    <x v="1"/>
    <s v="Classic Cars"/>
    <n v="141"/>
    <s v="S18_1129"/>
    <s v="Signal Gift Stores"/>
    <n v="7025551838"/>
    <s v="8489 Strong St."/>
    <s v="N/A"/>
    <s v="Las Vegas"/>
    <s v="NV"/>
    <n v="83030"/>
    <s v="USA"/>
    <s v="NA"/>
    <s v="King"/>
    <s v="Sue"/>
    <s v="Medium"/>
  </r>
  <r>
    <n v="10279"/>
    <n v="26"/>
    <n v="60.58"/>
    <n v="1"/>
    <n v="1575.08"/>
    <d v="2004-08-09T00:00:00"/>
    <s v="Aug"/>
    <x v="0"/>
    <x v="2"/>
    <n v="8"/>
    <x v="1"/>
    <s v="Classic Cars"/>
    <n v="71"/>
    <s v="S18_4933"/>
    <s v="Euro Shopping Channel"/>
    <s v="(91) 555 94 44"/>
    <s v="C/ Moralzarzal, 86"/>
    <s v="N/A"/>
    <s v="Madrid"/>
    <s v="N/A"/>
    <n v="28034"/>
    <s v="Spain"/>
    <s v="EMEA"/>
    <s v="Freyre"/>
    <s v="Diego"/>
    <s v="Small"/>
  </r>
  <r>
    <n v="10280"/>
    <n v="34"/>
    <n v="100"/>
    <n v="2"/>
    <n v="8014.82"/>
    <d v="2004-08-17T00:00:00"/>
    <s v="Aug"/>
    <x v="0"/>
    <x v="2"/>
    <n v="8"/>
    <x v="1"/>
    <s v="Classic Cars"/>
    <n v="214"/>
    <s v="S10_1949"/>
    <s v="Amica Models &amp; Co."/>
    <s v="011-4988555"/>
    <s v="Via Monte Bianco 34"/>
    <s v="N/A"/>
    <s v="Torino"/>
    <s v="N/A"/>
    <n v="10100"/>
    <s v="Italy"/>
    <s v="EMEA"/>
    <s v="Accorti"/>
    <s v="Paolo"/>
    <s v="Large"/>
  </r>
  <r>
    <n v="10281"/>
    <n v="44"/>
    <n v="100"/>
    <n v="9"/>
    <n v="7020.64"/>
    <d v="2004-08-19T00:00:00"/>
    <s v="Aug"/>
    <x v="0"/>
    <x v="2"/>
    <n v="8"/>
    <x v="1"/>
    <s v="Classic Cars"/>
    <n v="147"/>
    <s v="S10_4962"/>
    <s v="Diecast Classics Inc."/>
    <n v="2155551555"/>
    <s v="7586 Pompton St."/>
    <s v="N/A"/>
    <s v="Allentown"/>
    <s v="PA"/>
    <n v="70267"/>
    <s v="USA"/>
    <s v="NA"/>
    <s v="Yu"/>
    <s v="Kyung"/>
    <s v="Large"/>
  </r>
  <r>
    <n v="10282"/>
    <n v="41"/>
    <n v="100"/>
    <n v="5"/>
    <n v="7071.27"/>
    <d v="2004-08-20T00:00:00"/>
    <s v="Aug"/>
    <x v="0"/>
    <x v="2"/>
    <n v="8"/>
    <x v="1"/>
    <s v="Classic Cars"/>
    <n v="207"/>
    <s v="S12_1108"/>
    <s v="Mini Gifts Distributors Ltd."/>
    <n v="4155551450"/>
    <s v="5677 Strong St."/>
    <s v="N/A"/>
    <s v="San Rafael"/>
    <s v="CA"/>
    <n v="97562"/>
    <s v="USA"/>
    <s v="NA"/>
    <s v="Nelson"/>
    <s v="Valarie"/>
    <s v="Large"/>
  </r>
  <r>
    <n v="10283"/>
    <n v="25"/>
    <n v="100"/>
    <n v="6"/>
    <n v="2992"/>
    <d v="2004-08-20T00:00:00"/>
    <s v="Aug"/>
    <x v="0"/>
    <x v="2"/>
    <n v="8"/>
    <x v="1"/>
    <s v="Classic Cars"/>
    <n v="136"/>
    <s v="S10_4757"/>
    <s v="Royal Canadian Collectables, Ltd."/>
    <s v="(604) 555-4555"/>
    <s v="23 Tsawassen Blvd."/>
    <s v="N/A"/>
    <s v="Tsawassen"/>
    <s v="BC"/>
    <s v="T2F 8M4"/>
    <s v="Canada"/>
    <s v="NA"/>
    <s v="Lincoln"/>
    <s v="Elizabeth"/>
    <s v="Small"/>
  </r>
  <r>
    <n v="10284"/>
    <n v="45"/>
    <n v="100"/>
    <n v="11"/>
    <n v="5747.85"/>
    <d v="2004-08-21T00:00:00"/>
    <s v="Aug"/>
    <x v="0"/>
    <x v="2"/>
    <n v="8"/>
    <x v="1"/>
    <s v="Planes"/>
    <n v="157"/>
    <s v="S18_1662"/>
    <s v="Norway Gifts By Mail, Co."/>
    <s v="+47 2212 1555"/>
    <s v="Drammensveien 126 A, PB 744 Sentrum"/>
    <s v="N/A"/>
    <s v="Oslo"/>
    <s v="N/A"/>
    <s v="N 0106"/>
    <s v="Norway"/>
    <s v="EMEA"/>
    <s v="Klaeboe"/>
    <s v="Jan"/>
    <s v="Medium"/>
  </r>
  <r>
    <n v="10285"/>
    <n v="36"/>
    <n v="100"/>
    <n v="6"/>
    <n v="4099.68"/>
    <d v="2004-08-27T00:00:00"/>
    <s v="Aug"/>
    <x v="0"/>
    <x v="2"/>
    <n v="8"/>
    <x v="1"/>
    <s v="Motorcycles"/>
    <n v="95"/>
    <s v="S10_1678"/>
    <s v="Marta's Replicas Co."/>
    <n v="6175558555"/>
    <s v="39323 Spinnaker Dr."/>
    <s v="N/A"/>
    <s v="Cambridge"/>
    <s v="MA"/>
    <n v="51247"/>
    <s v="USA"/>
    <s v="NA"/>
    <s v="Hernandez"/>
    <s v="Marta"/>
    <s v="Medium"/>
  </r>
  <r>
    <n v="10286"/>
    <n v="38"/>
    <n v="57.2"/>
    <n v="1"/>
    <n v="2173.6"/>
    <d v="2004-08-28T00:00:00"/>
    <s v="Aug"/>
    <x v="0"/>
    <x v="2"/>
    <n v="8"/>
    <x v="1"/>
    <s v="Motorcycles"/>
    <n v="62"/>
    <s v="S18_3782"/>
    <s v="La Corne D'abondance, Co."/>
    <s v="(1) 42.34.2555"/>
    <s v="265, boulevard Charonne"/>
    <s v="N/A"/>
    <s v="Paris"/>
    <s v="N/A"/>
    <n v="75012"/>
    <s v="France"/>
    <s v="EMEA"/>
    <s v="Bertrand"/>
    <s v="Marie"/>
    <s v="Small"/>
  </r>
  <r>
    <n v="10287"/>
    <n v="21"/>
    <n v="100"/>
    <n v="12"/>
    <n v="3432.24"/>
    <d v="2004-08-30T00:00:00"/>
    <s v="Aug"/>
    <x v="0"/>
    <x v="2"/>
    <n v="8"/>
    <x v="1"/>
    <s v="Classic Cars"/>
    <n v="194"/>
    <s v="S12_1099"/>
    <s v="Vida Sport, Ltd"/>
    <s v="0897-034555"/>
    <s v="Grenzacherweg 237"/>
    <s v="N/A"/>
    <s v="Gensve"/>
    <s v="N/A"/>
    <n v="1203"/>
    <s v="Switzerland"/>
    <s v="EMEA"/>
    <s v="Holz"/>
    <s v="Michael"/>
    <s v="Medium"/>
  </r>
  <r>
    <n v="10288"/>
    <n v="20"/>
    <n v="100"/>
    <n v="14"/>
    <n v="2936.8"/>
    <d v="2004-09-01T00:00:00"/>
    <s v="Sep"/>
    <x v="0"/>
    <x v="2"/>
    <n v="9"/>
    <x v="1"/>
    <s v="Classic Cars"/>
    <n v="124"/>
    <s v="S18_1589"/>
    <s v="Handji Gifts&amp; Co"/>
    <s v="+65 224 1555"/>
    <s v="Village Close - 106 Linden Road Sandown"/>
    <s v="2nd Floor"/>
    <s v="Singapore"/>
    <s v="N/A"/>
    <n v="69045"/>
    <s v="Singapore"/>
    <s v="APAC"/>
    <s v="Victorino"/>
    <s v="Wendy"/>
    <s v="Small"/>
  </r>
  <r>
    <n v="10289"/>
    <n v="38"/>
    <n v="100"/>
    <n v="2"/>
    <n v="4567.9799999999996"/>
    <d v="2004-09-03T00:00:00"/>
    <s v="Sep"/>
    <x v="0"/>
    <x v="2"/>
    <n v="9"/>
    <x v="1"/>
    <s v="Vintage Cars"/>
    <n v="102"/>
    <s v="S18_1342"/>
    <s v="Herkku Gifts"/>
    <s v="+47 2267 3215"/>
    <s v="Drammen 121, PR 744 Sentrum"/>
    <s v="N/A"/>
    <s v="Bergen"/>
    <s v="N/A"/>
    <s v="N 5804"/>
    <s v="Norway"/>
    <s v="EMEA"/>
    <s v="Oeztan"/>
    <s v="Veysel"/>
    <s v="Medium"/>
  </r>
  <r>
    <n v="10290"/>
    <n v="26"/>
    <n v="96.23"/>
    <n v="2"/>
    <n v="2501.98"/>
    <d v="2004-09-07T00:00:00"/>
    <s v="Sep"/>
    <x v="0"/>
    <x v="2"/>
    <n v="9"/>
    <x v="1"/>
    <s v="Vintage Cars"/>
    <n v="99"/>
    <s v="S18_3320"/>
    <s v="Auto-Moto Classics Inc."/>
    <n v="6175558428"/>
    <s v="16780 Pompton St."/>
    <s v="N/A"/>
    <s v="Brickhaven"/>
    <s v="MA"/>
    <n v="58339"/>
    <s v="USA"/>
    <s v="NA"/>
    <s v="Taylor"/>
    <s v="Leslie"/>
    <s v="Small"/>
  </r>
  <r>
    <n v="10291"/>
    <n v="37"/>
    <n v="100"/>
    <n v="11"/>
    <n v="7136.19"/>
    <d v="2004-09-08T00:00:00"/>
    <s v="Sep"/>
    <x v="0"/>
    <x v="2"/>
    <n v="9"/>
    <x v="1"/>
    <s v="Classic Cars"/>
    <n v="214"/>
    <s v="S10_1949"/>
    <s v="Scandinavian Gift Ideas"/>
    <s v="0695-34 6555"/>
    <s v="?kergatan 24"/>
    <s v="N/A"/>
    <s v="Boras"/>
    <s v="N/A"/>
    <s v="S-844 67"/>
    <s v="Sweden"/>
    <s v="EMEA"/>
    <s v="Larsson"/>
    <s v="Maria"/>
    <s v="Large"/>
  </r>
  <r>
    <n v="10292"/>
    <n v="21"/>
    <n v="100"/>
    <n v="8"/>
    <n v="2214.87"/>
    <d v="2004-09-08T00:00:00"/>
    <s v="Sep"/>
    <x v="0"/>
    <x v="2"/>
    <n v="9"/>
    <x v="1"/>
    <s v="Trucks and Buses"/>
    <n v="118"/>
    <s v="S12_4473"/>
    <s v="Land of Toys Inc."/>
    <n v="2125557818"/>
    <s v="897 Long Airport Avenue"/>
    <s v="N/A"/>
    <s v="NYC"/>
    <s v="NY"/>
    <n v="10022"/>
    <s v="USA"/>
    <s v="NA"/>
    <s v="Yu"/>
    <s v="Kwai"/>
    <s v="Small"/>
  </r>
  <r>
    <n v="10293"/>
    <n v="46"/>
    <n v="100"/>
    <n v="8"/>
    <n v="8411.56"/>
    <d v="2004-09-09T00:00:00"/>
    <s v="Sep"/>
    <x v="0"/>
    <x v="2"/>
    <n v="9"/>
    <x v="1"/>
    <s v="Classic Cars"/>
    <n v="207"/>
    <s v="S12_1108"/>
    <s v="Amica Models &amp; Co."/>
    <s v="011-4988555"/>
    <s v="Via Monte Bianco 34"/>
    <s v="N/A"/>
    <s v="Torino"/>
    <s v="N/A"/>
    <n v="10100"/>
    <s v="Italy"/>
    <s v="EMEA"/>
    <s v="Accorti"/>
    <s v="Paolo"/>
    <s v="Large"/>
  </r>
  <r>
    <n v="10294"/>
    <n v="45"/>
    <n v="100"/>
    <n v="1"/>
    <n v="4692.6000000000004"/>
    <d v="2004-09-10T00:00:00"/>
    <s v="Sep"/>
    <x v="0"/>
    <x v="2"/>
    <n v="9"/>
    <x v="1"/>
    <s v="Ships"/>
    <n v="99"/>
    <s v="S700_3962"/>
    <s v="Online Mini Collectables"/>
    <n v="6175557555"/>
    <s v="7635 Spinnaker Dr."/>
    <s v="N/A"/>
    <s v="Brickhaven"/>
    <s v="MA"/>
    <n v="58339"/>
    <s v="USA"/>
    <s v="NA"/>
    <s v="Barajas"/>
    <s v="Miguel"/>
    <s v="Medium"/>
  </r>
  <r>
    <n v="10295"/>
    <n v="24"/>
    <n v="100"/>
    <n v="1"/>
    <n v="3427.2"/>
    <d v="2004-09-10T00:00:00"/>
    <s v="Sep"/>
    <x v="0"/>
    <x v="2"/>
    <n v="9"/>
    <x v="1"/>
    <s v="Classic Cars"/>
    <n v="136"/>
    <s v="S10_4757"/>
    <s v="Gifts4AllAges.com"/>
    <n v="6175559555"/>
    <s v="8616 Spinnaker Dr."/>
    <s v="N/A"/>
    <s v="Boston"/>
    <s v="MA"/>
    <n v="51003"/>
    <s v="USA"/>
    <s v="NA"/>
    <s v="Yoshido"/>
    <s v="Juri"/>
    <s v="Medium"/>
  </r>
  <r>
    <n v="10296"/>
    <n v="36"/>
    <n v="100"/>
    <n v="7"/>
    <n v="5676.84"/>
    <d v="2004-09-15T00:00:00"/>
    <s v="Sep"/>
    <x v="0"/>
    <x v="2"/>
    <n v="9"/>
    <x v="1"/>
    <s v="Planes"/>
    <n v="157"/>
    <s v="S18_1662"/>
    <s v="Bavarian Collectables Imports, Co."/>
    <s v="+49 89 61 08 9555"/>
    <s v="Hansastr. 15"/>
    <s v="N/A"/>
    <s v="Munich"/>
    <s v="N/A"/>
    <n v="80686"/>
    <s v="Germany"/>
    <s v="EMEA"/>
    <s v="Donnermeyer"/>
    <s v="Michael"/>
    <s v="Medium"/>
  </r>
  <r>
    <n v="10297"/>
    <n v="25"/>
    <n v="82.79"/>
    <n v="4"/>
    <n v="2069.75"/>
    <d v="2004-09-16T00:00:00"/>
    <s v="Sep"/>
    <x v="0"/>
    <x v="2"/>
    <n v="9"/>
    <x v="1"/>
    <s v="Planes"/>
    <n v="84"/>
    <s v="S18_2581"/>
    <s v="Clover Collections, Co."/>
    <s v="+353 1862 1555"/>
    <s v="25 Maiden Lane"/>
    <s v="Floor No. 4"/>
    <s v="Dublin"/>
    <s v="N/A"/>
    <n v="2"/>
    <s v="Ireland"/>
    <s v="EMEA"/>
    <s v="Cassidy"/>
    <s v="Dean"/>
    <s v="Small"/>
  </r>
  <r>
    <n v="10298"/>
    <n v="39"/>
    <n v="96.34"/>
    <n v="1"/>
    <n v="3757.26"/>
    <d v="2004-09-27T00:00:00"/>
    <s v="Sep"/>
    <x v="0"/>
    <x v="2"/>
    <n v="9"/>
    <x v="1"/>
    <s v="Motorcycles"/>
    <n v="118"/>
    <s v="S10_2016"/>
    <s v="Atelier graphique"/>
    <s v="40.32.2555"/>
    <s v="54, rue Royale"/>
    <s v="N/A"/>
    <s v="Nantes"/>
    <s v="N/A"/>
    <n v="44000"/>
    <s v="France"/>
    <s v="EMEA"/>
    <s v="Schmitt"/>
    <s v="Carine"/>
    <s v="Medium"/>
  </r>
  <r>
    <n v="10299"/>
    <n v="23"/>
    <n v="100"/>
    <n v="9"/>
    <n v="2597.39"/>
    <d v="2004-09-30T00:00:00"/>
    <s v="Sep"/>
    <x v="0"/>
    <x v="2"/>
    <n v="9"/>
    <x v="1"/>
    <s v="Motorcycles"/>
    <n v="95"/>
    <s v="S10_1678"/>
    <s v="Toys of Finland, Co."/>
    <s v="90-224 8555"/>
    <s v="Keskuskatu 45"/>
    <s v="N/A"/>
    <s v="Helsinki"/>
    <s v="N/A"/>
    <n v="21240"/>
    <s v="Finland"/>
    <s v="EMEA"/>
    <s v="Karttunen"/>
    <s v="Matti"/>
    <s v="Small"/>
  </r>
  <r>
    <n v="10300"/>
    <n v="33"/>
    <n v="100"/>
    <n v="5"/>
    <n v="5521.89"/>
    <d v="2003-10-04T00:00:00"/>
    <s v="Oct"/>
    <x v="0"/>
    <x v="3"/>
    <n v="10"/>
    <x v="0"/>
    <s v="Classic Cars"/>
    <n v="194"/>
    <s v="S12_1099"/>
    <s v="Blauer See Auto, Co."/>
    <s v="+49 69 66 90 2555"/>
    <s v="Lyonerstr. 34"/>
    <s v="N/A"/>
    <s v="Frankfurt"/>
    <s v="N/A"/>
    <n v="60528"/>
    <s v="Germany"/>
    <s v="EMEA"/>
    <s v="Keitel"/>
    <s v="Roland"/>
    <s v="Medium"/>
  </r>
  <r>
    <n v="10301"/>
    <n v="37"/>
    <n v="100"/>
    <n v="8"/>
    <n v="5917.78"/>
    <d v="2003-10-05T00:00:00"/>
    <s v="Oct"/>
    <x v="0"/>
    <x v="3"/>
    <n v="10"/>
    <x v="0"/>
    <s v="Classic Cars"/>
    <n v="141"/>
    <s v="S18_1129"/>
    <s v="Norway Gifts By Mail, Co."/>
    <s v="+47 2212 1555"/>
    <s v="Drammensveien 126 A, PB 744 Sentrum"/>
    <s v="N/A"/>
    <s v="Oslo"/>
    <s v="N/A"/>
    <s v="N 0106"/>
    <s v="Norway"/>
    <s v="EMEA"/>
    <s v="Klaeboe"/>
    <s v="Jan"/>
    <s v="Medium"/>
  </r>
  <r>
    <n v="10302"/>
    <n v="43"/>
    <n v="100"/>
    <n v="1"/>
    <n v="7310"/>
    <d v="2003-10-06T00:00:00"/>
    <s v="Oct"/>
    <x v="0"/>
    <x v="3"/>
    <n v="10"/>
    <x v="0"/>
    <s v="Vintage Cars"/>
    <n v="170"/>
    <s v="S18_1749"/>
    <s v="UK Collectables, Ltd."/>
    <s v="(171) 555-2282"/>
    <s v="Berkeley Gardens 12  Brewery"/>
    <s v="N/A"/>
    <s v="Liverpool"/>
    <s v="N/A"/>
    <s v="WX1 6LT"/>
    <s v="UK"/>
    <s v="EMEA"/>
    <s v="Devon"/>
    <s v="Elizabeth"/>
    <s v="Large"/>
  </r>
  <r>
    <n v="10303"/>
    <n v="46"/>
    <n v="49.04"/>
    <n v="2"/>
    <n v="2255.84"/>
    <d v="2004-10-06T00:00:00"/>
    <s v="Oct"/>
    <x v="0"/>
    <x v="3"/>
    <n v="10"/>
    <x v="1"/>
    <s v="Vintage Cars"/>
    <n v="60"/>
    <s v="S18_2248"/>
    <s v="Iberia Gift Imports, Corp."/>
    <s v="(95) 555 82 82"/>
    <s v="C/ Romero, 33"/>
    <s v="N/A"/>
    <s v="Sevilla"/>
    <s v="N/A"/>
    <n v="41101"/>
    <s v="Spain"/>
    <s v="EMEA"/>
    <s v="Roel"/>
    <s v="Jose Pedro"/>
    <s v="Small"/>
  </r>
  <r>
    <n v="10304"/>
    <n v="47"/>
    <n v="100"/>
    <n v="6"/>
    <n v="10172.700000000001"/>
    <d v="2004-10-11T00:00:00"/>
    <s v="Oct"/>
    <x v="0"/>
    <x v="3"/>
    <n v="10"/>
    <x v="1"/>
    <s v="Classic Cars"/>
    <n v="214"/>
    <s v="S10_1949"/>
    <s v="Auto Assoc. &amp; Cie."/>
    <s v="30.59.8555"/>
    <s v="67, avenue de l'Europe"/>
    <s v="N/A"/>
    <s v="Versailles"/>
    <s v="N/A"/>
    <n v="78000"/>
    <s v="France"/>
    <s v="EMEA"/>
    <s v="Tonini"/>
    <s v="Daniel"/>
    <s v="Large"/>
  </r>
  <r>
    <n v="10305"/>
    <n v="38"/>
    <n v="100"/>
    <n v="13"/>
    <n v="6680.78"/>
    <d v="2004-10-13T00:00:00"/>
    <s v="Oct"/>
    <x v="0"/>
    <x v="3"/>
    <n v="10"/>
    <x v="1"/>
    <s v="Classic Cars"/>
    <n v="147"/>
    <s v="S10_4962"/>
    <s v="Marta's Replicas Co."/>
    <n v="6175558555"/>
    <s v="39323 Spinnaker Dr."/>
    <s v="N/A"/>
    <s v="Cambridge"/>
    <s v="MA"/>
    <n v="51247"/>
    <s v="USA"/>
    <s v="NA"/>
    <s v="Hernandez"/>
    <s v="Marta"/>
    <s v="Medium"/>
  </r>
  <r>
    <n v="10306"/>
    <n v="31"/>
    <n v="100"/>
    <n v="13"/>
    <n v="6570.76"/>
    <d v="2004-10-14T00:00:00"/>
    <s v="Oct"/>
    <x v="0"/>
    <x v="3"/>
    <n v="10"/>
    <x v="1"/>
    <s v="Classic Cars"/>
    <n v="207"/>
    <s v="S12_1108"/>
    <s v="AV Stores, Co."/>
    <s v="(171) 555-1555"/>
    <s v="Fauntleroy Circus"/>
    <s v="N/A"/>
    <s v="Manchester"/>
    <s v="N/A"/>
    <s v="EC2 5NT"/>
    <s v="UK"/>
    <s v="EMEA"/>
    <s v="Ashworth"/>
    <s v="Victoria"/>
    <s v="Medium"/>
  </r>
  <r>
    <n v="10307"/>
    <n v="22"/>
    <n v="100"/>
    <n v="9"/>
    <n v="2692.8"/>
    <d v="2004-10-14T00:00:00"/>
    <s v="Oct"/>
    <x v="0"/>
    <x v="3"/>
    <n v="10"/>
    <x v="1"/>
    <s v="Classic Cars"/>
    <n v="136"/>
    <s v="S10_4757"/>
    <s v="Classic Gift Ideas, Inc"/>
    <n v="2155554695"/>
    <s v="782 First Street"/>
    <s v="N/A"/>
    <s v="Philadelphia"/>
    <s v="PA"/>
    <n v="71270"/>
    <s v="USA"/>
    <s v="NA"/>
    <s v="Cervantes"/>
    <s v="Francisca"/>
    <s v="Small"/>
  </r>
  <r>
    <n v="10308"/>
    <n v="34"/>
    <n v="100"/>
    <n v="2"/>
    <n v="4043.96"/>
    <d v="2004-10-15T00:00:00"/>
    <s v="Oct"/>
    <x v="0"/>
    <x v="3"/>
    <n v="10"/>
    <x v="1"/>
    <s v="Motorcycles"/>
    <n v="118"/>
    <s v="S10_2016"/>
    <s v="Mini Classics"/>
    <n v="9145554562"/>
    <s v="3758 North Pendale Street"/>
    <s v="N/A"/>
    <s v="White Plains"/>
    <s v="NY"/>
    <n v="24067"/>
    <s v="USA"/>
    <s v="NA"/>
    <s v="Frick"/>
    <s v="Steve"/>
    <s v="Medium"/>
  </r>
  <r>
    <n v="10309"/>
    <n v="41"/>
    <n v="100"/>
    <n v="5"/>
    <n v="4394.38"/>
    <d v="2004-10-15T00:00:00"/>
    <s v="Oct"/>
    <x v="0"/>
    <x v="3"/>
    <n v="10"/>
    <x v="1"/>
    <s v="Motorcycles"/>
    <n v="95"/>
    <s v="S10_1678"/>
    <s v="Baane Mini Imports"/>
    <s v="07-98 9555"/>
    <s v="Erling Skakkes gate 78"/>
    <s v="N/A"/>
    <s v="Stavern"/>
    <s v="N/A"/>
    <n v="4110"/>
    <s v="Norway"/>
    <s v="EMEA"/>
    <s v="Bergulfsen"/>
    <s v="Jonas"/>
    <s v="Medium"/>
  </r>
  <r>
    <n v="10310"/>
    <n v="33"/>
    <n v="100"/>
    <n v="10"/>
    <n v="6934.62"/>
    <d v="2004-10-16T00:00:00"/>
    <s v="Oct"/>
    <x v="0"/>
    <x v="3"/>
    <n v="10"/>
    <x v="1"/>
    <s v="Classic Cars"/>
    <n v="194"/>
    <s v="S12_1099"/>
    <s v="Toms Spezialitten, Ltd"/>
    <s v="0221-5554327"/>
    <s v="Mehrheimerstr. 369"/>
    <s v="N/A"/>
    <s v="Koln"/>
    <s v="N/A"/>
    <n v="50739"/>
    <s v="Germany"/>
    <s v="EMEA"/>
    <s v="Pfalzheim"/>
    <s v="Henriette"/>
    <s v="Medium"/>
  </r>
  <r>
    <n v="10311"/>
    <n v="29"/>
    <n v="100"/>
    <n v="9"/>
    <n v="2923.2"/>
    <d v="2004-10-16T00:00:00"/>
    <s v="Oct"/>
    <x v="0"/>
    <x v="3"/>
    <n v="10"/>
    <x v="1"/>
    <s v="Classic Cars"/>
    <n v="124"/>
    <s v="S18_1589"/>
    <s v="Euro Shopping Channel"/>
    <s v="(91) 555 94 44"/>
    <s v="C/ Moralzarzal, 86"/>
    <s v="N/A"/>
    <s v="Madrid"/>
    <s v="N/A"/>
    <n v="28034"/>
    <s v="Spain"/>
    <s v="EMEA"/>
    <s v="Freyre"/>
    <s v="Diego"/>
    <s v="Small"/>
  </r>
  <r>
    <n v="10312"/>
    <n v="48"/>
    <n v="100"/>
    <n v="3"/>
    <n v="11623.7"/>
    <d v="2004-10-21T00:00:00"/>
    <s v="Oct"/>
    <x v="0"/>
    <x v="3"/>
    <n v="10"/>
    <x v="1"/>
    <s v="Classic Cars"/>
    <n v="214"/>
    <s v="S10_1949"/>
    <s v="Mini Gifts Distributors Ltd."/>
    <n v="4155551450"/>
    <s v="5677 Strong St."/>
    <s v="N/A"/>
    <s v="San Rafael"/>
    <s v="CA"/>
    <n v="97562"/>
    <s v="USA"/>
    <s v="NA"/>
    <s v="Nelson"/>
    <s v="Valarie"/>
    <s v="Large"/>
  </r>
  <r>
    <n v="10313"/>
    <n v="40"/>
    <n v="100"/>
    <n v="7"/>
    <n v="6678"/>
    <d v="2004-10-22T00:00:00"/>
    <s v="Oct"/>
    <x v="0"/>
    <x v="3"/>
    <n v="10"/>
    <x v="1"/>
    <s v="Classic Cars"/>
    <n v="147"/>
    <s v="S10_4962"/>
    <s v="Canadian Gift Exchange Network"/>
    <s v="(604) 555-3392"/>
    <s v="1900 Oak St."/>
    <s v="N/A"/>
    <s v="Vancouver"/>
    <s v="BC"/>
    <s v="V3F 2K1"/>
    <s v="Canada"/>
    <s v="NA"/>
    <s v="Tannamuri"/>
    <s v="Yoshi"/>
    <s v="Medium"/>
  </r>
  <r>
    <n v="10314"/>
    <n v="38"/>
    <n v="100"/>
    <n v="5"/>
    <n v="7975.44"/>
    <d v="2004-10-22T00:00:00"/>
    <s v="Oct"/>
    <x v="0"/>
    <x v="3"/>
    <n v="10"/>
    <x v="1"/>
    <s v="Classic Cars"/>
    <n v="207"/>
    <s v="S12_1108"/>
    <s v="Heintze Collectables"/>
    <s v="86 21 3555"/>
    <s v="Smagsloget 45"/>
    <s v="N/A"/>
    <s v="Aaarhus"/>
    <s v="N/A"/>
    <n v="8200"/>
    <s v="Denmark"/>
    <s v="EMEA"/>
    <s v="Ibsen"/>
    <s v="Palle"/>
    <s v="Large"/>
  </r>
  <r>
    <n v="10315"/>
    <n v="36"/>
    <n v="100"/>
    <n v="7"/>
    <n v="3602.16"/>
    <d v="2004-10-29T00:00:00"/>
    <s v="Oct"/>
    <x v="0"/>
    <x v="3"/>
    <n v="10"/>
    <x v="1"/>
    <s v="Vintage Cars"/>
    <n v="87"/>
    <s v="S18_4522"/>
    <s v="La Rochelle Gifts"/>
    <s v="40.67.8555"/>
    <s v="67, rue des Cinquante Otages"/>
    <s v="N/A"/>
    <s v="Nantes"/>
    <s v="N/A"/>
    <n v="44000"/>
    <s v="France"/>
    <s v="EMEA"/>
    <s v="Labrune"/>
    <s v="Janine"/>
    <s v="Medium"/>
  </r>
  <r>
    <n v="10316"/>
    <n v="33"/>
    <n v="100"/>
    <n v="17"/>
    <n v="4128.96"/>
    <d v="2004-11-01T00:00:00"/>
    <s v="Nov"/>
    <x v="0"/>
    <x v="3"/>
    <n v="11"/>
    <x v="1"/>
    <s v="Classic Cars"/>
    <n v="136"/>
    <s v="S10_4757"/>
    <s v="giftsbymail.co.uk"/>
    <s v="(198) 555-8888"/>
    <s v="Garden House Crowther Way"/>
    <s v="N/A"/>
    <s v="Cowes"/>
    <s v="Isle of Wight"/>
    <s v="PO31 7PJ"/>
    <s v="UK"/>
    <s v="EMEA"/>
    <s v="Bennett"/>
    <s v="Helen"/>
    <s v="Medium"/>
  </r>
  <r>
    <n v="10317"/>
    <n v="35"/>
    <n v="83.32"/>
    <n v="1"/>
    <n v="2916.2"/>
    <d v="2004-11-02T00:00:00"/>
    <s v="Nov"/>
    <x v="0"/>
    <x v="3"/>
    <n v="11"/>
    <x v="1"/>
    <s v="Planes"/>
    <n v="72"/>
    <s v="S24_4278"/>
    <s v="Technics Stores Inc."/>
    <n v="6505556809"/>
    <s v="9408 Furth Circle"/>
    <s v="N/A"/>
    <s v="Burlingame"/>
    <s v="CA"/>
    <n v="94217"/>
    <s v="USA"/>
    <s v="NA"/>
    <s v="Hirano"/>
    <s v="Juri"/>
    <s v="Small"/>
  </r>
  <r>
    <n v="10318"/>
    <n v="46"/>
    <n v="94.74"/>
    <n v="1"/>
    <n v="4358.04"/>
    <d v="2004-11-02T00:00:00"/>
    <s v="Nov"/>
    <x v="0"/>
    <x v="3"/>
    <n v="11"/>
    <x v="1"/>
    <s v="Motorcycles"/>
    <n v="95"/>
    <s v="S10_1678"/>
    <s v="Diecast Classics Inc."/>
    <n v="2155551555"/>
    <s v="7586 Pompton St."/>
    <s v="N/A"/>
    <s v="Allentown"/>
    <s v="PA"/>
    <n v="70267"/>
    <s v="USA"/>
    <s v="NA"/>
    <s v="Yu"/>
    <s v="Kyung"/>
    <s v="Medium"/>
  </r>
  <r>
    <n v="10319"/>
    <n v="30"/>
    <n v="100"/>
    <n v="9"/>
    <n v="4111.8"/>
    <d v="2004-11-03T00:00:00"/>
    <s v="Nov"/>
    <x v="0"/>
    <x v="3"/>
    <n v="11"/>
    <x v="1"/>
    <s v="Motorcycles"/>
    <n v="150"/>
    <s v="S12_2823"/>
    <s v="Microscale Inc."/>
    <n v="2125551957"/>
    <s v="5290 North Pendale Street"/>
    <s v="Suite 200"/>
    <s v="NYC"/>
    <s v="NY"/>
    <n v="10022"/>
    <s v="USA"/>
    <s v="NA"/>
    <s v="Kuo"/>
    <s v="Kee"/>
    <s v="Medium"/>
  </r>
  <r>
    <n v="10320"/>
    <n v="31"/>
    <n v="100"/>
    <n v="3"/>
    <n v="6876.11"/>
    <d v="2004-11-03T00:00:00"/>
    <s v="Nov"/>
    <x v="0"/>
    <x v="3"/>
    <n v="11"/>
    <x v="1"/>
    <s v="Classic Cars"/>
    <n v="194"/>
    <s v="S12_1099"/>
    <s v="Volvo Model Replicas, Co"/>
    <s v="0921-12 3555"/>
    <s v="Berguvsv„gen  8"/>
    <s v="N/A"/>
    <s v="Lule"/>
    <s v="N/A"/>
    <s v="S-958 22"/>
    <s v="Sweden"/>
    <s v="EMEA"/>
    <s v="Berglund"/>
    <s v="Christina"/>
    <s v="Medium"/>
  </r>
  <r>
    <n v="10321"/>
    <n v="24"/>
    <n v="100"/>
    <n v="15"/>
    <n v="2984.88"/>
    <d v="2004-11-04T00:00:00"/>
    <s v="Nov"/>
    <x v="0"/>
    <x v="3"/>
    <n v="11"/>
    <x v="1"/>
    <s v="Classic Cars"/>
    <n v="115"/>
    <s v="S12_4675"/>
    <s v="FunGiftIdeas.com"/>
    <n v="5085552555"/>
    <s v="1785 First Street"/>
    <s v="N/A"/>
    <s v="New Bedford"/>
    <s v="MA"/>
    <n v="50553"/>
    <s v="USA"/>
    <s v="NA"/>
    <s v="Benitez"/>
    <s v="Violeta"/>
    <s v="Small"/>
  </r>
  <r>
    <n v="10322"/>
    <n v="40"/>
    <n v="100"/>
    <n v="1"/>
    <n v="6000.4"/>
    <d v="2004-11-04T00:00:00"/>
    <s v="Nov"/>
    <x v="0"/>
    <x v="3"/>
    <n v="11"/>
    <x v="1"/>
    <s v="Classic Cars"/>
    <n v="214"/>
    <s v="S10_1949"/>
    <s v="Online Diecast Creations Co."/>
    <n v="6035558647"/>
    <s v="2304 Long Airport Avenue"/>
    <s v="N/A"/>
    <s v="Nashua"/>
    <s v="NH"/>
    <n v="62005"/>
    <s v="USA"/>
    <s v="NA"/>
    <s v="Young"/>
    <s v="Valarie"/>
    <s v="Medium"/>
  </r>
  <r>
    <n v="10323"/>
    <n v="33"/>
    <n v="91.27"/>
    <n v="2"/>
    <n v="3011.91"/>
    <d v="2004-11-05T00:00:00"/>
    <s v="Nov"/>
    <x v="0"/>
    <x v="3"/>
    <n v="11"/>
    <x v="1"/>
    <s v="Vintage Cars"/>
    <n v="99"/>
    <s v="S18_3320"/>
    <s v="Blauer See Auto, Co."/>
    <s v="+49 69 66 90 2555"/>
    <s v="Lyonerstr. 34"/>
    <s v="N/A"/>
    <s v="Frankfurt"/>
    <s v="N/A"/>
    <n v="60528"/>
    <s v="Germany"/>
    <s v="EMEA"/>
    <s v="Keitel"/>
    <s v="Roland"/>
    <s v="Medium"/>
  </r>
  <r>
    <n v="10324"/>
    <n v="27"/>
    <n v="54.33"/>
    <n v="1"/>
    <n v="1466.91"/>
    <d v="2004-11-05T00:00:00"/>
    <s v="Nov"/>
    <x v="0"/>
    <x v="3"/>
    <n v="11"/>
    <x v="1"/>
    <s v="Classic Cars"/>
    <n v="151"/>
    <s v="S12_3148"/>
    <s v="Vitachrome Inc."/>
    <n v="2125551500"/>
    <s v="2678 Kingston Rd."/>
    <s v="Suite 101"/>
    <s v="NYC"/>
    <s v="NY"/>
    <n v="10022"/>
    <s v="USA"/>
    <s v="NA"/>
    <s v="Frick"/>
    <s v="Michael"/>
    <s v="Small"/>
  </r>
  <r>
    <n v="10325"/>
    <n v="47"/>
    <n v="64.930000000000007"/>
    <n v="6"/>
    <n v="3051.71"/>
    <d v="2004-11-05T00:00:00"/>
    <s v="Nov"/>
    <x v="0"/>
    <x v="3"/>
    <n v="11"/>
    <x v="1"/>
    <s v="Classic Cars"/>
    <n v="136"/>
    <s v="S10_4757"/>
    <s v="Baane Mini Imports"/>
    <s v="07-98 9555"/>
    <s v="Erling Skakkes gate 78"/>
    <s v="N/A"/>
    <s v="Stavern"/>
    <s v="N/A"/>
    <n v="4110"/>
    <s v="Norway"/>
    <s v="EMEA"/>
    <s v="Bergulfsen"/>
    <s v="Jonas"/>
    <s v="Medium"/>
  </r>
  <r>
    <n v="10326"/>
    <n v="32"/>
    <n v="100"/>
    <n v="6"/>
    <n v="3807.68"/>
    <d v="2004-11-09T00:00:00"/>
    <s v="Nov"/>
    <x v="0"/>
    <x v="3"/>
    <n v="11"/>
    <x v="1"/>
    <s v="Trains"/>
    <n v="100"/>
    <s v="S18_3259"/>
    <s v="Volvo Model Replicas, Co"/>
    <s v="0921-12 3555"/>
    <s v="Berguvsv„gen  8"/>
    <s v="N/A"/>
    <s v="Lule"/>
    <s v="N/A"/>
    <s v="S-958 22"/>
    <s v="Sweden"/>
    <s v="EMEA"/>
    <s v="Berglund"/>
    <s v="Christina"/>
    <s v="Medium"/>
  </r>
  <r>
    <n v="10327"/>
    <n v="25"/>
    <n v="100"/>
    <n v="6"/>
    <n v="2804.75"/>
    <d v="2004-11-10T00:00:00"/>
    <s v="Nov"/>
    <x v="1"/>
    <x v="3"/>
    <n v="11"/>
    <x v="1"/>
    <s v="Planes"/>
    <n v="157"/>
    <s v="S18_1662"/>
    <s v="Danish Wholesale Imports"/>
    <s v="31 12 3555"/>
    <s v="Vinb'ltet 34"/>
    <s v="N/A"/>
    <s v="Kobenhavn"/>
    <s v="N/A"/>
    <n v="1734"/>
    <s v="Denmark"/>
    <s v="EMEA"/>
    <s v="Petersen"/>
    <s v="Jytte"/>
    <s v="Small"/>
  </r>
  <r>
    <n v="10328"/>
    <n v="34"/>
    <n v="100"/>
    <n v="6"/>
    <n v="3815.48"/>
    <d v="2004-11-12T00:00:00"/>
    <s v="Nov"/>
    <x v="0"/>
    <x v="3"/>
    <n v="11"/>
    <x v="1"/>
    <s v="Vintage Cars"/>
    <n v="105"/>
    <s v="S18_3856"/>
    <s v="Rovelli Gifts"/>
    <s v="035-640555"/>
    <s v="Via Ludovico il Moro 22"/>
    <s v="N/A"/>
    <s v="Bergamo"/>
    <s v="N/A"/>
    <n v="24100"/>
    <s v="Italy"/>
    <s v="EMEA"/>
    <s v="Rovelli"/>
    <s v="Giovanni"/>
    <s v="Medium"/>
  </r>
  <r>
    <n v="10329"/>
    <n v="42"/>
    <n v="100"/>
    <n v="1"/>
    <n v="4396.1400000000003"/>
    <d v="2004-11-15T00:00:00"/>
    <s v="Nov"/>
    <x v="0"/>
    <x v="3"/>
    <n v="11"/>
    <x v="1"/>
    <s v="Motorcycles"/>
    <n v="95"/>
    <s v="S10_1678"/>
    <s v="Land of Toys Inc."/>
    <n v="2125557818"/>
    <s v="897 Long Airport Avenue"/>
    <s v="N/A"/>
    <s v="NYC"/>
    <s v="NY"/>
    <n v="10022"/>
    <s v="USA"/>
    <s v="NA"/>
    <s v="Yu"/>
    <s v="Kwai"/>
    <s v="Medium"/>
  </r>
  <r>
    <n v="10330"/>
    <n v="37"/>
    <n v="100"/>
    <n v="3"/>
    <n v="4405.22"/>
    <d v="2004-11-16T00:00:00"/>
    <s v="Nov"/>
    <x v="0"/>
    <x v="3"/>
    <n v="11"/>
    <x v="1"/>
    <s v="Classic Cars"/>
    <n v="146"/>
    <s v="S18_3482"/>
    <s v="Cruz &amp; Sons Co."/>
    <s v="+63 2 555 3587"/>
    <s v="15 McCallum Street - NatWest Center #13-03"/>
    <s v="N/A"/>
    <s v="Makati City"/>
    <s v="N/A"/>
    <s v="1227 MM"/>
    <s v="Philippines"/>
    <s v="Japan"/>
    <s v="Cruz"/>
    <s v="Arnold"/>
    <s v="Medium"/>
  </r>
  <r>
    <n v="10331"/>
    <n v="46"/>
    <n v="100"/>
    <n v="6"/>
    <n v="6434.02"/>
    <d v="2004-11-17T00:00:00"/>
    <s v="Nov"/>
    <x v="0"/>
    <x v="3"/>
    <n v="11"/>
    <x v="1"/>
    <s v="Classic Cars"/>
    <n v="141"/>
    <s v="S18_1129"/>
    <s v="Motor Mint Distributors Inc."/>
    <n v="2155559857"/>
    <s v="11328 Douglas Av."/>
    <s v="N/A"/>
    <s v="Philadelphia"/>
    <s v="PA"/>
    <n v="71270"/>
    <s v="USA"/>
    <s v="NA"/>
    <s v="Hernandez"/>
    <s v="Rosa"/>
    <s v="Medium"/>
  </r>
  <r>
    <n v="10332"/>
    <n v="46"/>
    <n v="95.13"/>
    <n v="15"/>
    <n v="4375.9799999999996"/>
    <d v="2004-11-17T00:00:00"/>
    <s v="Nov"/>
    <x v="0"/>
    <x v="3"/>
    <n v="11"/>
    <x v="1"/>
    <s v="Vintage Cars"/>
    <n v="102"/>
    <s v="S18_1342"/>
    <s v="AV Stores, Co."/>
    <s v="(171) 555-1555"/>
    <s v="Fauntleroy Circus"/>
    <s v="N/A"/>
    <s v="Manchester"/>
    <s v="N/A"/>
    <s v="EC2 5NT"/>
    <s v="UK"/>
    <s v="EMEA"/>
    <s v="Ashworth"/>
    <s v="Victoria"/>
    <s v="Medium"/>
  </r>
  <r>
    <n v="10333"/>
    <n v="26"/>
    <n v="100"/>
    <n v="3"/>
    <n v="3003"/>
    <d v="2004-11-18T00:00:00"/>
    <s v="Nov"/>
    <x v="0"/>
    <x v="3"/>
    <n v="11"/>
    <x v="1"/>
    <s v="Classic Cars"/>
    <n v="214"/>
    <s v="S10_1949"/>
    <s v="Mini Wheels Co."/>
    <n v="6505555787"/>
    <s v="5557 North Pendale Street"/>
    <s v="N/A"/>
    <s v="San Francisco"/>
    <s v="CA"/>
    <s v="N/A"/>
    <s v="USA"/>
    <s v="NA"/>
    <s v="Murphy"/>
    <s v="Julie"/>
    <s v="Medium"/>
  </r>
  <r>
    <n v="10334"/>
    <n v="26"/>
    <n v="100"/>
    <n v="2"/>
    <n v="3188.12"/>
    <d v="2004-11-19T00:00:00"/>
    <s v="Nov"/>
    <x v="3"/>
    <x v="3"/>
    <n v="11"/>
    <x v="1"/>
    <s v="Classic Cars"/>
    <n v="147"/>
    <s v="S10_4962"/>
    <s v="Volvo Model Replicas, Co"/>
    <s v="0921-12 3555"/>
    <s v="Berguvsv„gen  8"/>
    <s v="N/A"/>
    <s v="Lule"/>
    <s v="N/A"/>
    <s v="S-958 22"/>
    <s v="Sweden"/>
    <s v="EMEA"/>
    <s v="Berglund"/>
    <s v="Christina"/>
    <s v="Medium"/>
  </r>
  <r>
    <n v="10335"/>
    <n v="33"/>
    <n v="37.130000000000003"/>
    <n v="2"/>
    <n v="1225.29"/>
    <d v="2004-11-19T00:00:00"/>
    <s v="Nov"/>
    <x v="0"/>
    <x v="3"/>
    <n v="11"/>
    <x v="1"/>
    <s v="Classic Cars"/>
    <n v="35"/>
    <s v="S24_2840"/>
    <s v="Mini Gifts Distributors Ltd."/>
    <n v="4155551450"/>
    <s v="5677 Strong St."/>
    <s v="N/A"/>
    <s v="San Rafael"/>
    <s v="CA"/>
    <n v="97562"/>
    <s v="USA"/>
    <s v="NA"/>
    <s v="Nelson"/>
    <s v="Valarie"/>
    <s v="Small"/>
  </r>
  <r>
    <n v="10336"/>
    <n v="33"/>
    <n v="57.22"/>
    <n v="10"/>
    <n v="1888.26"/>
    <d v="2004-11-20T00:00:00"/>
    <s v="Nov"/>
    <x v="0"/>
    <x v="3"/>
    <n v="11"/>
    <x v="1"/>
    <s v="Classic Cars"/>
    <n v="207"/>
    <s v="S12_1108"/>
    <s v="La Corne D'abondance, Co."/>
    <s v="(1) 42.34.2555"/>
    <s v="265, boulevard Charonne"/>
    <s v="N/A"/>
    <s v="Paris"/>
    <s v="N/A"/>
    <n v="75012"/>
    <s v="France"/>
    <s v="EMEA"/>
    <s v="Bertrand"/>
    <s v="Marie"/>
    <s v="Small"/>
  </r>
  <r>
    <n v="10337"/>
    <n v="25"/>
    <n v="48.05"/>
    <n v="8"/>
    <n v="1201.25"/>
    <d v="2004-11-21T00:00:00"/>
    <s v="Nov"/>
    <x v="0"/>
    <x v="3"/>
    <n v="11"/>
    <x v="1"/>
    <s v="Classic Cars"/>
    <n v="136"/>
    <s v="S10_4757"/>
    <s v="Classic Legends Inc."/>
    <n v="2125558493"/>
    <s v="5905 Pompton St."/>
    <s v="Suite 750"/>
    <s v="NYC"/>
    <s v="NY"/>
    <n v="10022"/>
    <s v="USA"/>
    <s v="NA"/>
    <s v="Hernandez"/>
    <s v="Maria"/>
    <s v="Small"/>
  </r>
  <r>
    <n v="10338"/>
    <n v="41"/>
    <n v="100"/>
    <n v="1"/>
    <n v="5624.79"/>
    <d v="2004-11-22T00:00:00"/>
    <s v="Nov"/>
    <x v="0"/>
    <x v="3"/>
    <n v="11"/>
    <x v="1"/>
    <s v="Planes"/>
    <n v="157"/>
    <s v="S18_1662"/>
    <s v="Royale Belge"/>
    <s v="(071) 23 67 2555"/>
    <s v="Boulevard Tirou, 255"/>
    <s v="N/A"/>
    <s v="Charleroi"/>
    <s v="N/A"/>
    <s v="B-6000"/>
    <s v="Belgium"/>
    <s v="EMEA"/>
    <s v="Cartrain"/>
    <s v="Pascale"/>
    <s v="Medium"/>
  </r>
  <r>
    <n v="10339"/>
    <n v="40"/>
    <n v="68.92"/>
    <n v="4"/>
    <n v="2756.8"/>
    <d v="2004-11-23T00:00:00"/>
    <s v="Nov"/>
    <x v="0"/>
    <x v="3"/>
    <n v="11"/>
    <x v="1"/>
    <s v="Motorcycles"/>
    <n v="118"/>
    <s v="S10_2016"/>
    <s v="Tokyo Collectables, Ltd"/>
    <s v="+81 3 3584 0555"/>
    <s v="2-2-8 Roppongi"/>
    <s v="N/A"/>
    <s v="Minato-ku"/>
    <s v="Tokyo"/>
    <s v="106-0032"/>
    <s v="Japan"/>
    <s v="Japan"/>
    <s v="Shimamura"/>
    <s v="Akiko"/>
    <s v="Small"/>
  </r>
  <r>
    <n v="10340"/>
    <n v="55"/>
    <n v="79.98"/>
    <n v="8"/>
    <n v="4398.8999999999996"/>
    <d v="2004-11-24T00:00:00"/>
    <s v="Nov"/>
    <x v="0"/>
    <x v="3"/>
    <n v="11"/>
    <x v="1"/>
    <s v="Motorcycles"/>
    <n v="76"/>
    <s v="S24_2000"/>
    <s v="Enaco Distributors"/>
    <s v="(93) 203 4555"/>
    <s v="Rambla de Catalu¤a, 23"/>
    <s v="N/A"/>
    <s v="Barcelona"/>
    <s v="N/A"/>
    <n v="8022"/>
    <s v="Spain"/>
    <s v="EMEA"/>
    <s v="Saavedra"/>
    <s v="Eduardo"/>
    <s v="Medium"/>
  </r>
  <r>
    <n v="10341"/>
    <n v="41"/>
    <n v="100"/>
    <n v="9"/>
    <n v="7737.93"/>
    <d v="2004-11-24T00:00:00"/>
    <s v="Nov"/>
    <x v="0"/>
    <x v="3"/>
    <n v="11"/>
    <x v="1"/>
    <s v="Motorcycles"/>
    <n v="95"/>
    <s v="S10_1678"/>
    <s v="Salzburg Collectables"/>
    <s v="6562-9555"/>
    <s v="Geislweg 14"/>
    <s v="N/A"/>
    <s v="Salzburg"/>
    <s v="N/A"/>
    <n v="5020"/>
    <s v="Austria"/>
    <s v="EMEA"/>
    <s v="Pipps"/>
    <s v="Georg"/>
    <s v="Large"/>
  </r>
  <r>
    <n v="10342"/>
    <n v="40"/>
    <n v="100"/>
    <n v="2"/>
    <n v="6454.4"/>
    <d v="2004-11-24T00:00:00"/>
    <s v="Nov"/>
    <x v="0"/>
    <x v="3"/>
    <n v="11"/>
    <x v="1"/>
    <s v="Classic Cars"/>
    <n v="141"/>
    <s v="S18_1129"/>
    <s v="Australian Collectors, Co."/>
    <s v="03 9520 4555"/>
    <s v="636 St Kilda Road"/>
    <s v="Level 3"/>
    <s v="Melbourne"/>
    <s v="Victoria"/>
    <n v="3004"/>
    <s v="Australia"/>
    <s v="APAC"/>
    <s v="Ferguson"/>
    <s v="Peter"/>
    <s v="Medium"/>
  </r>
  <r>
    <n v="10343"/>
    <n v="36"/>
    <n v="100"/>
    <n v="4"/>
    <n v="5848.92"/>
    <d v="2004-11-24T00:00:00"/>
    <s v="Nov"/>
    <x v="0"/>
    <x v="3"/>
    <n v="11"/>
    <x v="1"/>
    <s v="Classic Cars"/>
    <n v="124"/>
    <s v="S18_1589"/>
    <s v="Reims Collectables"/>
    <s v="26.47.1555"/>
    <s v="59 rue de l'Abbaye"/>
    <s v="N/A"/>
    <s v="Reims"/>
    <s v="N/A"/>
    <n v="51100"/>
    <s v="France"/>
    <s v="EMEA"/>
    <s v="Henriot"/>
    <s v="Paul"/>
    <s v="Medium"/>
  </r>
  <r>
    <n v="10344"/>
    <n v="45"/>
    <n v="100"/>
    <n v="1"/>
    <n v="7650"/>
    <d v="2004-11-25T00:00:00"/>
    <s v="Nov"/>
    <x v="0"/>
    <x v="3"/>
    <n v="11"/>
    <x v="1"/>
    <s v="Vintage Cars"/>
    <n v="170"/>
    <s v="S18_1749"/>
    <s v="Marseille Mini Autos"/>
    <s v="91.24.4555"/>
    <s v="12, rue des Bouchers"/>
    <s v="N/A"/>
    <s v="Marseille"/>
    <s v="N/A"/>
    <n v="13008"/>
    <s v="France"/>
    <s v="EMEA"/>
    <s v="Lebihan"/>
    <s v="Laurence"/>
    <s v="Large"/>
  </r>
  <r>
    <n v="10345"/>
    <n v="43"/>
    <n v="53.76"/>
    <n v="1"/>
    <n v="2311.6799999999998"/>
    <d v="2004-11-25T00:00:00"/>
    <s v="Nov"/>
    <x v="0"/>
    <x v="3"/>
    <n v="11"/>
    <x v="1"/>
    <s v="Vintage Cars"/>
    <n v="44"/>
    <s v="S24_2022"/>
    <s v="Atelier graphique"/>
    <s v="40.32.2555"/>
    <s v="54, rue Royale"/>
    <s v="N/A"/>
    <s v="Nantes"/>
    <s v="N/A"/>
    <n v="44000"/>
    <s v="France"/>
    <s v="EMEA"/>
    <s v="Schmitt"/>
    <s v="Carine"/>
    <s v="Small"/>
  </r>
  <r>
    <n v="10346"/>
    <n v="42"/>
    <n v="36.11"/>
    <n v="3"/>
    <n v="1516.62"/>
    <d v="2004-11-29T00:00:00"/>
    <s v="Nov"/>
    <x v="0"/>
    <x v="3"/>
    <n v="11"/>
    <x v="1"/>
    <s v="Vintage Cars"/>
    <n v="102"/>
    <s v="S18_1342"/>
    <s v="Signal Gift Stores"/>
    <n v="7025551838"/>
    <s v="8489 Strong St."/>
    <s v="N/A"/>
    <s v="Las Vegas"/>
    <s v="NV"/>
    <n v="83030"/>
    <s v="USA"/>
    <s v="NA"/>
    <s v="King"/>
    <s v="Sue"/>
    <s v="Small"/>
  </r>
  <r>
    <n v="10347"/>
    <n v="30"/>
    <n v="100"/>
    <n v="1"/>
    <n v="3944.7"/>
    <d v="2004-11-29T00:00:00"/>
    <s v="Nov"/>
    <x v="0"/>
    <x v="3"/>
    <n v="11"/>
    <x v="1"/>
    <s v="Classic Cars"/>
    <n v="214"/>
    <s v="S10_1949"/>
    <s v="Australian Collectors, Co."/>
    <s v="03 9520 4555"/>
    <s v="636 St Kilda Road"/>
    <s v="Level 3"/>
    <s v="Melbourne"/>
    <s v="Victoria"/>
    <n v="3004"/>
    <s v="Australia"/>
    <s v="APAC"/>
    <s v="Ferguson"/>
    <s v="Peter"/>
    <s v="Medium"/>
  </r>
  <r>
    <n v="10348"/>
    <n v="48"/>
    <n v="52.36"/>
    <n v="8"/>
    <n v="2513.2800000000002"/>
    <d v="2004-11-01T00:00:00"/>
    <s v="Nov"/>
    <x v="0"/>
    <x v="3"/>
    <n v="11"/>
    <x v="1"/>
    <s v="Classic Cars"/>
    <n v="207"/>
    <s v="S12_1108"/>
    <s v="Corrida Auto Replicas, Ltd"/>
    <s v="(91) 555 22 82"/>
    <s v="C/ Araquil, 67"/>
    <s v="N/A"/>
    <s v="Madrid"/>
    <s v="N/A"/>
    <n v="28023"/>
    <s v="Spain"/>
    <s v="EMEA"/>
    <s v="Sommer"/>
    <s v="Mart¡n"/>
    <s v="Small"/>
  </r>
  <r>
    <n v="10349"/>
    <n v="26"/>
    <n v="100"/>
    <n v="10"/>
    <n v="4408.5600000000004"/>
    <d v="2004-12-01T00:00:00"/>
    <s v="Dec"/>
    <x v="0"/>
    <x v="3"/>
    <n v="12"/>
    <x v="1"/>
    <s v="Classic Cars"/>
    <n v="173"/>
    <s v="S12_3891"/>
    <s v="Muscle Machine Inc"/>
    <n v="2125557413"/>
    <s v="4092 Furth Circle"/>
    <s v="Suite 400"/>
    <s v="NYC"/>
    <s v="NY"/>
    <n v="10022"/>
    <s v="USA"/>
    <s v="NA"/>
    <s v="Young"/>
    <s v="Jeff"/>
    <s v="Medium"/>
  </r>
  <r>
    <n v="10350"/>
    <n v="26"/>
    <n v="75.47"/>
    <n v="5"/>
    <n v="1962.22"/>
    <d v="2004-12-02T00:00:00"/>
    <s v="Dec"/>
    <x v="0"/>
    <x v="3"/>
    <n v="12"/>
    <x v="1"/>
    <s v="Classic Cars"/>
    <n v="136"/>
    <s v="S10_4757"/>
    <s v="Euro Shopping Channel"/>
    <s v="(91) 555 94 44"/>
    <s v="C/ Moralzarzal, 86"/>
    <s v="N/A"/>
    <s v="Madrid"/>
    <s v="N/A"/>
    <n v="28034"/>
    <s v="Spain"/>
    <s v="EMEA"/>
    <s v="Freyre"/>
    <s v="Diego"/>
    <s v="Small"/>
  </r>
  <r>
    <n v="10351"/>
    <n v="39"/>
    <n v="99.52"/>
    <n v="1"/>
    <n v="3881.28"/>
    <d v="2004-12-03T00:00:00"/>
    <s v="Dec"/>
    <x v="0"/>
    <x v="3"/>
    <n v="12"/>
    <x v="1"/>
    <s v="Planes"/>
    <n v="157"/>
    <s v="S18_1662"/>
    <s v="Stylish Desk Decors, Co."/>
    <s v="(171) 555-0297"/>
    <s v="35 King George"/>
    <s v="N/A"/>
    <s v="London"/>
    <s v="N/A"/>
    <s v="WX3 6FW"/>
    <s v="UK"/>
    <s v="EMEA"/>
    <s v="Brown"/>
    <s v="Ann"/>
    <s v="Medium"/>
  </r>
  <r>
    <n v="10352"/>
    <n v="23"/>
    <n v="100"/>
    <n v="3"/>
    <n v="2352.67"/>
    <d v="2004-12-03T00:00:00"/>
    <s v="Dec"/>
    <x v="0"/>
    <x v="3"/>
    <n v="12"/>
    <x v="1"/>
    <s v="Ships"/>
    <n v="90"/>
    <s v="S700_2047"/>
    <s v="Auto-Moto Classics Inc."/>
    <n v="6175558428"/>
    <s v="16780 Pompton St."/>
    <s v="N/A"/>
    <s v="Brickhaven"/>
    <s v="MA"/>
    <n v="58339"/>
    <s v="USA"/>
    <s v="NA"/>
    <s v="Taylor"/>
    <s v="Leslie"/>
    <s v="Small"/>
  </r>
  <r>
    <n v="10353"/>
    <n v="27"/>
    <n v="100"/>
    <n v="1"/>
    <n v="3515.67"/>
    <d v="2004-12-04T00:00:00"/>
    <s v="Dec"/>
    <x v="0"/>
    <x v="3"/>
    <n v="12"/>
    <x v="1"/>
    <s v="Planes"/>
    <n v="84"/>
    <s v="S18_2581"/>
    <s v="Gift Ideas Corp."/>
    <n v="2035554407"/>
    <s v="2440 Pompton St."/>
    <s v="N/A"/>
    <s v="Glendale"/>
    <s v="CT"/>
    <n v="97561"/>
    <s v="USA"/>
    <s v="NA"/>
    <s v="Lewis"/>
    <s v="Dan"/>
    <s v="Medium"/>
  </r>
  <r>
    <n v="10355"/>
    <n v="23"/>
    <n v="100"/>
    <n v="7"/>
    <n v="3177.91"/>
    <d v="2004-12-07T00:00:00"/>
    <s v="Dec"/>
    <x v="0"/>
    <x v="3"/>
    <n v="12"/>
    <x v="1"/>
    <s v="Classic Cars"/>
    <n v="146"/>
    <s v="S18_3482"/>
    <s v="Euro Shopping Channel"/>
    <s v="(91) 555 94 44"/>
    <s v="C/ Moralzarzal, 86"/>
    <s v="N/A"/>
    <s v="Madrid"/>
    <s v="N/A"/>
    <n v="28034"/>
    <s v="Spain"/>
    <s v="EMEA"/>
    <s v="Freyre"/>
    <s v="Diego"/>
    <s v="Medium"/>
  </r>
  <r>
    <n v="10356"/>
    <n v="43"/>
    <n v="97.6"/>
    <n v="8"/>
    <n v="4196.8"/>
    <d v="2004-12-09T00:00:00"/>
    <s v="Dec"/>
    <x v="0"/>
    <x v="3"/>
    <n v="12"/>
    <x v="1"/>
    <s v="Classic Cars"/>
    <n v="141"/>
    <s v="S18_1129"/>
    <s v="Lyon Souveniers"/>
    <s v="+33 1 46 62 7555"/>
    <s v="27 rue du Colonel Pierre Avia"/>
    <s v="N/A"/>
    <s v="Paris"/>
    <s v="N/A"/>
    <n v="75508"/>
    <s v="France"/>
    <s v="EMEA"/>
    <s v="Da Cunha"/>
    <s v="Daniel"/>
    <s v="Medium"/>
  </r>
  <r>
    <n v="10357"/>
    <n v="32"/>
    <n v="100"/>
    <n v="10"/>
    <n v="5691.84"/>
    <d v="2004-12-10T00:00:00"/>
    <s v="Dec"/>
    <x v="0"/>
    <x v="3"/>
    <n v="12"/>
    <x v="1"/>
    <s v="Classic Cars"/>
    <n v="214"/>
    <s v="S10_1949"/>
    <s v="Mini Gifts Distributors Ltd."/>
    <n v="4155551450"/>
    <s v="5677 Strong St."/>
    <s v="N/A"/>
    <s v="San Rafael"/>
    <s v="CA"/>
    <n v="97562"/>
    <s v="USA"/>
    <s v="NA"/>
    <s v="Nelson"/>
    <s v="Valarie"/>
    <s v="Medium"/>
  </r>
  <r>
    <n v="10358"/>
    <n v="49"/>
    <n v="55.34"/>
    <n v="5"/>
    <n v="2711.66"/>
    <d v="2004-12-10T00:00:00"/>
    <s v="Dec"/>
    <x v="0"/>
    <x v="3"/>
    <n v="12"/>
    <x v="1"/>
    <s v="Classic Cars"/>
    <n v="151"/>
    <s v="S12_3148"/>
    <s v="Euro Shopping Channel"/>
    <s v="(91) 555 94 44"/>
    <s v="C/ Moralzarzal, 86"/>
    <s v="N/A"/>
    <s v="Madrid"/>
    <s v="N/A"/>
    <n v="28034"/>
    <s v="Spain"/>
    <s v="EMEA"/>
    <s v="Freyre"/>
    <s v="Diego"/>
    <s v="Small"/>
  </r>
  <r>
    <n v="10359"/>
    <n v="48"/>
    <n v="54.68"/>
    <n v="6"/>
    <n v="2624.64"/>
    <d v="2004-12-15T00:00:00"/>
    <s v="Dec"/>
    <x v="0"/>
    <x v="3"/>
    <n v="12"/>
    <x v="1"/>
    <s v="Classic Cars"/>
    <n v="136"/>
    <s v="S10_4757"/>
    <s v="Reims Collectables"/>
    <s v="26.47.1555"/>
    <s v="59 rue de l'Abbaye"/>
    <s v="N/A"/>
    <s v="Reims"/>
    <s v="N/A"/>
    <n v="51100"/>
    <s v="France"/>
    <s v="EMEA"/>
    <s v="Henriot"/>
    <s v="Paul"/>
    <s v="Small"/>
  </r>
  <r>
    <n v="10361"/>
    <n v="20"/>
    <n v="72.55"/>
    <n v="13"/>
    <n v="1451"/>
    <d v="2004-12-17T00:00:00"/>
    <s v="Dec"/>
    <x v="0"/>
    <x v="3"/>
    <n v="12"/>
    <x v="1"/>
    <s v="Motorcycles"/>
    <n v="95"/>
    <s v="S10_1678"/>
    <s v="Souveniers And Things Co."/>
    <s v="+61 2 9495 8555"/>
    <s v="Monitor Money Building, 815 Pacific Hwy"/>
    <s v="Level 6"/>
    <s v="Chatswood"/>
    <s v="NSW"/>
    <n v="2067"/>
    <s v="Australia"/>
    <s v="APAC"/>
    <s v="Huxley"/>
    <s v="Adrian"/>
    <s v="Small"/>
  </r>
  <r>
    <n v="10362"/>
    <n v="22"/>
    <n v="100"/>
    <n v="4"/>
    <n v="3664.1"/>
    <d v="2005-01-05T00:00:00"/>
    <s v="Jan"/>
    <x v="0"/>
    <x v="0"/>
    <n v="1"/>
    <x v="2"/>
    <s v="Motorcycles"/>
    <n v="193"/>
    <s v="S10_4698"/>
    <s v="Technics Stores Inc."/>
    <n v="6505556809"/>
    <s v="9408 Furth Circle"/>
    <s v="N/A"/>
    <s v="Burlingame"/>
    <s v="CA"/>
    <n v="94217"/>
    <s v="USA"/>
    <s v="NA"/>
    <s v="Hirano"/>
    <s v="Juri"/>
    <s v="Medium"/>
  </r>
  <r>
    <n v="10363"/>
    <n v="33"/>
    <n v="85.39"/>
    <n v="3"/>
    <n v="2817.87"/>
    <d v="2005-01-06T00:00:00"/>
    <s v="Jan"/>
    <x v="0"/>
    <x v="0"/>
    <n v="1"/>
    <x v="2"/>
    <s v="Classic Cars"/>
    <n v="194"/>
    <s v="S12_1099"/>
    <s v="Suominen Souveniers"/>
    <s v="+358 9 8045 555"/>
    <s v="Software Engineering Center, SEC Oy"/>
    <s v="N/A"/>
    <s v="Espoo"/>
    <s v="N/A"/>
    <s v="FIN-02271"/>
    <s v="Finland"/>
    <s v="EMEA"/>
    <s v="Suominen"/>
    <s v="Kalle"/>
    <s v="Small"/>
  </r>
  <r>
    <n v="10364"/>
    <n v="48"/>
    <n v="48.28"/>
    <n v="1"/>
    <n v="2317.44"/>
    <d v="2005-01-06T00:00:00"/>
    <s v="Jan"/>
    <x v="0"/>
    <x v="0"/>
    <n v="1"/>
    <x v="2"/>
    <s v="Motorcycles"/>
    <n v="40"/>
    <s v="S32_2206"/>
    <s v="Marseille Mini Autos"/>
    <s v="91.24.4555"/>
    <s v="12, rue des Bouchers"/>
    <s v="N/A"/>
    <s v="Marseille"/>
    <s v="N/A"/>
    <n v="13008"/>
    <s v="France"/>
    <s v="EMEA"/>
    <s v="Lebihan"/>
    <s v="Laurence"/>
    <s v="Small"/>
  </r>
  <r>
    <n v="10365"/>
    <n v="30"/>
    <n v="87.06"/>
    <n v="1"/>
    <n v="2611.8000000000002"/>
    <d v="2005-01-07T00:00:00"/>
    <s v="Jan"/>
    <x v="0"/>
    <x v="0"/>
    <n v="1"/>
    <x v="2"/>
    <s v="Classic Cars"/>
    <n v="141"/>
    <s v="S18_1129"/>
    <s v="Mini Creations Ltd."/>
    <n v="5085559555"/>
    <s v="4575 Hillside Dr."/>
    <s v="N/A"/>
    <s v="New Bedford"/>
    <s v="MA"/>
    <n v="50553"/>
    <s v="USA"/>
    <s v="NA"/>
    <s v="Tam"/>
    <s v="Wing C"/>
    <s v="Small"/>
  </r>
  <r>
    <n v="10366"/>
    <n v="34"/>
    <n v="100"/>
    <n v="3"/>
    <n v="4207.84"/>
    <d v="2005-01-10T00:00:00"/>
    <s v="Jan"/>
    <x v="0"/>
    <x v="0"/>
    <n v="1"/>
    <x v="2"/>
    <s v="Classic Cars"/>
    <n v="142"/>
    <s v="S18_1984"/>
    <s v="Royale Belge"/>
    <s v="(071) 23 67 2555"/>
    <s v="Boulevard Tirou, 255"/>
    <s v="N/A"/>
    <s v="Charleroi"/>
    <s v="N/A"/>
    <s v="B-6000"/>
    <s v="Belgium"/>
    <s v="EMEA"/>
    <s v="Cartrain"/>
    <s v="Pascale"/>
    <s v="Medium"/>
  </r>
  <r>
    <n v="10367"/>
    <n v="49"/>
    <n v="56.3"/>
    <n v="1"/>
    <n v="2758.7"/>
    <d v="2005-01-12T00:00:00"/>
    <s v="Jan"/>
    <x v="1"/>
    <x v="0"/>
    <n v="1"/>
    <x v="2"/>
    <s v="Classic Cars"/>
    <n v="124"/>
    <s v="S18_1589"/>
    <s v="Toys4GrownUps.com"/>
    <n v="6265557265"/>
    <s v="78934 Hillside Dr."/>
    <s v="N/A"/>
    <s v="Pasadena"/>
    <s v="CA"/>
    <n v="90003"/>
    <s v="USA"/>
    <s v="NA"/>
    <s v="Young"/>
    <s v="Julie"/>
    <s v="Small"/>
  </r>
  <r>
    <n v="10368"/>
    <n v="40"/>
    <n v="100"/>
    <n v="2"/>
    <n v="4107.2"/>
    <d v="2005-01-19T00:00:00"/>
    <s v="Jan"/>
    <x v="0"/>
    <x v="0"/>
    <n v="1"/>
    <x v="2"/>
    <s v="Classic Cars"/>
    <n v="90"/>
    <s v="S24_2766"/>
    <s v="Mini Gifts Distributors Ltd."/>
    <n v="4155551450"/>
    <s v="5677 Strong St."/>
    <s v="N/A"/>
    <s v="San Rafael"/>
    <s v="CA"/>
    <n v="97562"/>
    <s v="USA"/>
    <s v="NA"/>
    <s v="Nelson"/>
    <s v="Valarie"/>
    <s v="Medium"/>
  </r>
  <r>
    <n v="10369"/>
    <n v="41"/>
    <n v="100"/>
    <n v="2"/>
    <n v="4514.92"/>
    <d v="2005-01-20T00:00:00"/>
    <s v="Jan"/>
    <x v="0"/>
    <x v="0"/>
    <n v="1"/>
    <x v="2"/>
    <s v="Classic Cars"/>
    <n v="214"/>
    <s v="S10_1949"/>
    <s v="Collectables For Less Inc."/>
    <n v="6175558555"/>
    <s v="7825 Douglas Av."/>
    <s v="N/A"/>
    <s v="Brickhaven"/>
    <s v="MA"/>
    <n v="58339"/>
    <s v="USA"/>
    <s v="NA"/>
    <s v="Nelson"/>
    <s v="Allen"/>
    <s v="Medium"/>
  </r>
  <r>
    <n v="10370"/>
    <n v="35"/>
    <n v="65.63"/>
    <n v="4"/>
    <n v="2297.0500000000002"/>
    <d v="2005-01-20T00:00:00"/>
    <s v="Jan"/>
    <x v="0"/>
    <x v="0"/>
    <n v="1"/>
    <x v="2"/>
    <s v="Classic Cars"/>
    <n v="147"/>
    <s v="S10_4962"/>
    <s v="Anna's Decorations, Ltd"/>
    <s v="02 9936 8555"/>
    <s v="201 Miller Street"/>
    <s v="Level 15"/>
    <s v="North Sydney"/>
    <s v="NSW"/>
    <n v="2060"/>
    <s v="Australia"/>
    <s v="APAC"/>
    <s v="O'Hara"/>
    <s v="Anna"/>
    <s v="Small"/>
  </r>
  <r>
    <n v="10371"/>
    <n v="32"/>
    <n v="100"/>
    <n v="6"/>
    <n v="3560.64"/>
    <d v="2005-01-23T00:00:00"/>
    <s v="Jan"/>
    <x v="0"/>
    <x v="0"/>
    <n v="1"/>
    <x v="2"/>
    <s v="Classic Cars"/>
    <n v="207"/>
    <s v="S12_1108"/>
    <s v="Mini Gifts Distributors Ltd."/>
    <n v="4155551450"/>
    <s v="5677 Strong St."/>
    <s v="N/A"/>
    <s v="San Rafael"/>
    <s v="CA"/>
    <n v="97562"/>
    <s v="USA"/>
    <s v="NA"/>
    <s v="Nelson"/>
    <s v="Valarie"/>
    <s v="Medium"/>
  </r>
  <r>
    <n v="10372"/>
    <n v="40"/>
    <n v="100"/>
    <n v="4"/>
    <n v="5862"/>
    <d v="2005-01-26T00:00:00"/>
    <s v="Jan"/>
    <x v="0"/>
    <x v="0"/>
    <n v="1"/>
    <x v="2"/>
    <s v="Classic Cars"/>
    <n v="151"/>
    <s v="S12_3148"/>
    <s v="Tokyo Collectables, Ltd"/>
    <s v="+81 3 3584 0555"/>
    <s v="2-2-8 Roppongi"/>
    <s v="N/A"/>
    <s v="Minato-ku"/>
    <s v="Tokyo"/>
    <s v="106-0032"/>
    <s v="Japan"/>
    <s v="Japan"/>
    <s v="Shimamura"/>
    <s v="Akiko"/>
    <s v="Medium"/>
  </r>
  <r>
    <n v="10373"/>
    <n v="39"/>
    <n v="100"/>
    <n v="3"/>
    <n v="4046.25"/>
    <d v="2005-01-31T00:00:00"/>
    <s v="Jan"/>
    <x v="0"/>
    <x v="0"/>
    <n v="1"/>
    <x v="2"/>
    <s v="Classic Cars"/>
    <n v="136"/>
    <s v="S10_4757"/>
    <s v="Oulu Toy Supplies, Inc."/>
    <s v="981-443655"/>
    <s v="Torikatu 38"/>
    <s v="N/A"/>
    <s v="Oulu"/>
    <s v="N/A"/>
    <n v="90110"/>
    <s v="Finland"/>
    <s v="EMEA"/>
    <s v="Koskitalo"/>
    <s v="Pirkko"/>
    <s v="Medium"/>
  </r>
  <r>
    <n v="10374"/>
    <n v="39"/>
    <n v="100"/>
    <n v="5"/>
    <n v="5288.01"/>
    <d v="2005-02-02T00:00:00"/>
    <s v="Feb"/>
    <x v="0"/>
    <x v="0"/>
    <n v="2"/>
    <x v="2"/>
    <s v="Motorcycles"/>
    <n v="118"/>
    <s v="S10_2016"/>
    <s v="Australian Gift Network, Co"/>
    <s v="61-7-3844-6555"/>
    <s v="31 Duncan St. West End"/>
    <s v="N/A"/>
    <s v="South Brisbane"/>
    <s v="Queensland"/>
    <n v="4101"/>
    <s v="Australia"/>
    <s v="APAC"/>
    <s v="Calaghan"/>
    <s v="Tony"/>
    <s v="Medium"/>
  </r>
  <r>
    <n v="10375"/>
    <n v="21"/>
    <n v="34.909999999999997"/>
    <n v="12"/>
    <n v="733.11"/>
    <d v="2005-02-03T00:00:00"/>
    <s v="Feb"/>
    <x v="0"/>
    <x v="0"/>
    <n v="2"/>
    <x v="2"/>
    <s v="Motorcycles"/>
    <n v="95"/>
    <s v="S10_1678"/>
    <s v="La Rochelle Gifts"/>
    <s v="40.67.8555"/>
    <s v="67, rue des Cinquante Otages"/>
    <s v="N/A"/>
    <s v="Nantes"/>
    <s v="N/A"/>
    <n v="44000"/>
    <s v="France"/>
    <s v="EMEA"/>
    <s v="Labrune"/>
    <s v="Janine"/>
    <s v="Small"/>
  </r>
  <r>
    <n v="10376"/>
    <n v="35"/>
    <n v="100"/>
    <n v="1"/>
    <n v="3987.2"/>
    <d v="2005-02-08T00:00:00"/>
    <s v="Feb"/>
    <x v="0"/>
    <x v="0"/>
    <n v="2"/>
    <x v="2"/>
    <s v="Classic Cars"/>
    <n v="117"/>
    <s v="S12_3380"/>
    <s v="Boards &amp; Toys Co."/>
    <n v="3105552373"/>
    <s v="4097 Douglas Av."/>
    <s v="N/A"/>
    <s v="Glendale"/>
    <s v="CA"/>
    <n v="92561"/>
    <s v="USA"/>
    <s v="NA"/>
    <s v="Young"/>
    <s v="Leslie"/>
    <s v="Medium"/>
  </r>
  <r>
    <n v="10377"/>
    <n v="24"/>
    <n v="67.83"/>
    <n v="5"/>
    <n v="1627.92"/>
    <d v="2005-02-09T00:00:00"/>
    <s v="Feb"/>
    <x v="0"/>
    <x v="0"/>
    <n v="2"/>
    <x v="2"/>
    <s v="Classic Cars"/>
    <n v="79"/>
    <s v="S12_3990"/>
    <s v="Toys of Finland, Co."/>
    <s v="90-224 8555"/>
    <s v="Keskuskatu 45"/>
    <s v="N/A"/>
    <s v="Helsinki"/>
    <s v="N/A"/>
    <n v="21240"/>
    <s v="Finland"/>
    <s v="EMEA"/>
    <s v="Karttunen"/>
    <s v="Matti"/>
    <s v="Small"/>
  </r>
  <r>
    <n v="10378"/>
    <n v="34"/>
    <n v="42.64"/>
    <n v="5"/>
    <n v="1449.76"/>
    <d v="2005-02-10T00:00:00"/>
    <s v="Feb"/>
    <x v="0"/>
    <x v="0"/>
    <n v="2"/>
    <x v="2"/>
    <s v="Classic Cars"/>
    <n v="124"/>
    <s v="S18_1589"/>
    <s v="Euro Shopping Channel"/>
    <s v="(91) 555 94 44"/>
    <s v="C/ Moralzarzal, 86"/>
    <s v="N/A"/>
    <s v="Madrid"/>
    <s v="N/A"/>
    <n v="28034"/>
    <s v="Spain"/>
    <s v="EMEA"/>
    <s v="Freyre"/>
    <s v="Diego"/>
    <s v="Small"/>
  </r>
  <r>
    <n v="10379"/>
    <n v="39"/>
    <n v="100"/>
    <n v="2"/>
    <n v="5399.55"/>
    <d v="2005-02-10T00:00:00"/>
    <s v="Feb"/>
    <x v="0"/>
    <x v="0"/>
    <n v="2"/>
    <x v="2"/>
    <s v="Vintage Cars"/>
    <n v="170"/>
    <s v="S18_1749"/>
    <s v="Euro Shopping Channel"/>
    <s v="(91) 555 94 44"/>
    <s v="C/ Moralzarzal, 86"/>
    <s v="N/A"/>
    <s v="Madrid"/>
    <s v="N/A"/>
    <n v="28034"/>
    <s v="Spain"/>
    <s v="EMEA"/>
    <s v="Freyre"/>
    <s v="Diego"/>
    <s v="Medium"/>
  </r>
  <r>
    <n v="10380"/>
    <n v="27"/>
    <n v="93.16"/>
    <n v="13"/>
    <n v="2515.3200000000002"/>
    <d v="2005-02-16T00:00:00"/>
    <s v="Feb"/>
    <x v="0"/>
    <x v="0"/>
    <n v="2"/>
    <x v="2"/>
    <s v="Vintage Cars"/>
    <n v="102"/>
    <s v="S18_1342"/>
    <s v="Euro Shopping Channel"/>
    <s v="(91) 555 94 44"/>
    <s v="C/ Moralzarzal, 86"/>
    <s v="N/A"/>
    <s v="Madrid"/>
    <s v="N/A"/>
    <n v="28034"/>
    <s v="Spain"/>
    <s v="EMEA"/>
    <s v="Freyre"/>
    <s v="Diego"/>
    <s v="Small"/>
  </r>
  <r>
    <n v="10381"/>
    <n v="36"/>
    <n v="100"/>
    <n v="3"/>
    <n v="8254.7999999999993"/>
    <d v="2005-02-17T00:00:00"/>
    <s v="Feb"/>
    <x v="0"/>
    <x v="0"/>
    <n v="2"/>
    <x v="2"/>
    <s v="Classic Cars"/>
    <n v="214"/>
    <s v="S10_1949"/>
    <s v="Corporate Gift Ideas Co."/>
    <n v="6505551386"/>
    <s v="7734 Strong St."/>
    <s v="N/A"/>
    <s v="San Francisco"/>
    <s v="CA"/>
    <s v="N/A"/>
    <s v="USA"/>
    <s v="NA"/>
    <s v="Brown"/>
    <s v="Julie"/>
    <s v="Large"/>
  </r>
  <r>
    <n v="10382"/>
    <n v="34"/>
    <n v="100"/>
    <n v="10"/>
    <n v="3823.64"/>
    <d v="2005-02-17T00:00:00"/>
    <s v="Feb"/>
    <x v="0"/>
    <x v="0"/>
    <n v="2"/>
    <x v="2"/>
    <s v="Classic Cars"/>
    <n v="207"/>
    <s v="S12_1108"/>
    <s v="Mini Gifts Distributors Ltd."/>
    <n v="4155551450"/>
    <s v="5677 Strong St."/>
    <s v="N/A"/>
    <s v="San Rafael"/>
    <s v="CA"/>
    <n v="97562"/>
    <s v="USA"/>
    <s v="NA"/>
    <s v="Nelson"/>
    <s v="Valarie"/>
    <s v="Medium"/>
  </r>
  <r>
    <n v="10383"/>
    <n v="27"/>
    <n v="100"/>
    <n v="11"/>
    <n v="3843.99"/>
    <d v="2005-02-22T00:00:00"/>
    <s v="Feb"/>
    <x v="0"/>
    <x v="0"/>
    <n v="2"/>
    <x v="2"/>
    <s v="Trucks and Buses"/>
    <n v="122"/>
    <s v="S18_2319"/>
    <s v="Euro Shopping Channel"/>
    <s v="(91) 555 94 44"/>
    <s v="C/ Moralzarzal, 86"/>
    <s v="N/A"/>
    <s v="Madrid"/>
    <s v="N/A"/>
    <n v="28034"/>
    <s v="Spain"/>
    <s v="EMEA"/>
    <s v="Freyre"/>
    <s v="Diego"/>
    <s v="Medium"/>
  </r>
  <r>
    <n v="10384"/>
    <n v="34"/>
    <n v="100"/>
    <n v="4"/>
    <n v="4846.7"/>
    <d v="2005-02-23T00:00:00"/>
    <s v="Feb"/>
    <x v="0"/>
    <x v="0"/>
    <n v="2"/>
    <x v="2"/>
    <s v="Classic Cars"/>
    <n v="136"/>
    <s v="S10_4757"/>
    <s v="Corporate Gift Ideas Co."/>
    <n v="6505551386"/>
    <s v="7734 Strong St."/>
    <s v="N/A"/>
    <s v="San Francisco"/>
    <s v="CA"/>
    <s v="N/A"/>
    <s v="USA"/>
    <s v="NA"/>
    <s v="Brown"/>
    <s v="Julie"/>
    <s v="Medium"/>
  </r>
  <r>
    <n v="10385"/>
    <n v="37"/>
    <n v="85.54"/>
    <n v="2"/>
    <n v="3164.98"/>
    <d v="2005-02-28T00:00:00"/>
    <s v="Feb"/>
    <x v="0"/>
    <x v="0"/>
    <n v="2"/>
    <x v="2"/>
    <s v="Vintage Cars"/>
    <n v="83"/>
    <s v="S24_3816"/>
    <s v="Mini Gifts Distributors Ltd."/>
    <n v="4155551450"/>
    <s v="5677 Strong St."/>
    <s v="N/A"/>
    <s v="San Rafael"/>
    <s v="CA"/>
    <n v="97562"/>
    <s v="USA"/>
    <s v="NA"/>
    <s v="Nelson"/>
    <s v="Valarie"/>
    <s v="Medium"/>
  </r>
  <r>
    <n v="10386"/>
    <n v="25"/>
    <n v="54.57"/>
    <n v="7"/>
    <n v="1364.25"/>
    <d v="2005-03-01T00:00:00"/>
    <s v="Mar"/>
    <x v="1"/>
    <x v="0"/>
    <n v="3"/>
    <x v="2"/>
    <s v="Planes"/>
    <n v="157"/>
    <s v="S18_1662"/>
    <s v="Euro Shopping Channel"/>
    <s v="(91) 555 94 44"/>
    <s v="C/ Moralzarzal, 86"/>
    <s v="N/A"/>
    <s v="Madrid"/>
    <s v="N/A"/>
    <n v="28034"/>
    <s v="Spain"/>
    <s v="EMEA"/>
    <s v="Freyre"/>
    <s v="Diego"/>
    <s v="Small"/>
  </r>
  <r>
    <n v="10387"/>
    <n v="44"/>
    <n v="94.9"/>
    <n v="1"/>
    <n v="4175.6000000000004"/>
    <d v="2005-03-02T00:00:00"/>
    <s v="Mar"/>
    <x v="0"/>
    <x v="0"/>
    <n v="3"/>
    <x v="2"/>
    <s v="Motorcycles"/>
    <n v="99"/>
    <s v="S32_1374"/>
    <s v="Dragon Souveniers, Ltd."/>
    <s v="+65 221 7555"/>
    <s v="Bronz Sok., Bronz Apt. 3/6 Tesvikiye"/>
    <s v="N/A"/>
    <s v="Singapore"/>
    <s v="N/A"/>
    <n v="79903"/>
    <s v="Singapore"/>
    <s v="Japan"/>
    <s v="Natividad"/>
    <s v="Eric"/>
    <s v="Medium"/>
  </r>
  <r>
    <n v="10388"/>
    <n v="42"/>
    <n v="76.36"/>
    <n v="4"/>
    <n v="3207.12"/>
    <d v="2005-03-03T00:00:00"/>
    <s v="Mar"/>
    <x v="0"/>
    <x v="0"/>
    <n v="3"/>
    <x v="2"/>
    <s v="Motorcycles"/>
    <n v="95"/>
    <s v="S10_1678"/>
    <s v="FunGiftIdeas.com"/>
    <n v="5085552555"/>
    <s v="1785 First Street"/>
    <s v="N/A"/>
    <s v="New Bedford"/>
    <s v="MA"/>
    <n v="50553"/>
    <s v="USA"/>
    <s v="NA"/>
    <s v="Benitez"/>
    <s v="Violeta"/>
    <s v="Medium"/>
  </r>
  <r>
    <n v="10389"/>
    <n v="26"/>
    <n v="99.04"/>
    <n v="4"/>
    <n v="2575.04"/>
    <d v="2005-03-03T00:00:00"/>
    <s v="Mar"/>
    <x v="0"/>
    <x v="0"/>
    <n v="3"/>
    <x v="2"/>
    <s v="Classic Cars"/>
    <n v="194"/>
    <s v="S12_1099"/>
    <s v="Scandinavian Gift Ideas"/>
    <s v="0695-34 6555"/>
    <s v="?kergatan 24"/>
    <s v="N/A"/>
    <s v="Boras"/>
    <s v="N/A"/>
    <s v="S-844 67"/>
    <s v="Sweden"/>
    <s v="EMEA"/>
    <s v="Larsson"/>
    <s v="Maria"/>
    <s v="Small"/>
  </r>
  <r>
    <n v="10390"/>
    <n v="36"/>
    <n v="93.77"/>
    <n v="14"/>
    <n v="3375.72"/>
    <d v="2005-03-04T00:00:00"/>
    <s v="Mar"/>
    <x v="0"/>
    <x v="0"/>
    <n v="3"/>
    <x v="2"/>
    <s v="Classic Cars"/>
    <n v="141"/>
    <s v="S18_1129"/>
    <s v="Mini Gifts Distributors Ltd."/>
    <n v="4155551450"/>
    <s v="5677 Strong St."/>
    <s v="N/A"/>
    <s v="San Rafael"/>
    <s v="CA"/>
    <n v="97562"/>
    <s v="USA"/>
    <s v="NA"/>
    <s v="Nelson"/>
    <s v="Valarie"/>
    <s v="Medium"/>
  </r>
  <r>
    <n v="10391"/>
    <n v="24"/>
    <n v="100"/>
    <n v="4"/>
    <n v="2416.56"/>
    <d v="2005-03-09T00:00:00"/>
    <s v="Mar"/>
    <x v="0"/>
    <x v="0"/>
    <n v="3"/>
    <x v="2"/>
    <s v="Classic Cars"/>
    <n v="214"/>
    <s v="S10_1949"/>
    <s v="Anna's Decorations, Ltd"/>
    <s v="02 9936 8555"/>
    <s v="201 Miller Street"/>
    <s v="Level 15"/>
    <s v="North Sydney"/>
    <s v="NSW"/>
    <n v="2060"/>
    <s v="Australia"/>
    <s v="APAC"/>
    <s v="O'Hara"/>
    <s v="Anna"/>
    <s v="Small"/>
  </r>
  <r>
    <n v="10392"/>
    <n v="37"/>
    <n v="59.96"/>
    <n v="3"/>
    <n v="2218.52"/>
    <d v="2005-03-10T00:00:00"/>
    <s v="Mar"/>
    <x v="0"/>
    <x v="0"/>
    <n v="3"/>
    <x v="2"/>
    <s v="Vintage Cars"/>
    <n v="62"/>
    <s v="S18_2957"/>
    <s v="Mini Auto Werke"/>
    <s v="7675-3555"/>
    <s v="Kirchgasse 6"/>
    <s v="N/A"/>
    <s v="Graz"/>
    <s v="N/A"/>
    <n v="8010"/>
    <s v="Austria"/>
    <s v="EMEA"/>
    <s v="Mendel"/>
    <s v="Roland"/>
    <s v="Small"/>
  </r>
  <r>
    <n v="10394"/>
    <n v="22"/>
    <n v="100"/>
    <n v="5"/>
    <n v="3353.02"/>
    <d v="2005-03-15T00:00:00"/>
    <s v="Mar"/>
    <x v="0"/>
    <x v="0"/>
    <n v="3"/>
    <x v="2"/>
    <s v="Classic Cars"/>
    <n v="169"/>
    <s v="S18_3232"/>
    <s v="Euro Shopping Channel"/>
    <s v="(91) 555 94 44"/>
    <s v="C/ Moralzarzal, 86"/>
    <s v="N/A"/>
    <s v="Madrid"/>
    <s v="N/A"/>
    <n v="28034"/>
    <s v="Spain"/>
    <s v="EMEA"/>
    <s v="Freyre"/>
    <s v="Diego"/>
    <s v="Medium"/>
  </r>
  <r>
    <n v="10395"/>
    <n v="32"/>
    <n v="100"/>
    <n v="2"/>
    <n v="3370.56"/>
    <d v="2005-03-17T00:00:00"/>
    <s v="Mar"/>
    <x v="0"/>
    <x v="0"/>
    <n v="3"/>
    <x v="2"/>
    <s v="Classic Cars"/>
    <n v="136"/>
    <s v="S10_4757"/>
    <s v="Lyon Souveniers"/>
    <s v="+33 1 46 62 7555"/>
    <s v="27 rue du Colonel Pierre Avia"/>
    <s v="N/A"/>
    <s v="Paris"/>
    <s v="N/A"/>
    <n v="75508"/>
    <s v="France"/>
    <s v="EMEA"/>
    <s v="Da Cunha"/>
    <s v="Daniel"/>
    <s v="Medium"/>
  </r>
  <r>
    <n v="10396"/>
    <n v="33"/>
    <n v="100"/>
    <n v="3"/>
    <n v="6109.29"/>
    <d v="2005-03-23T00:00:00"/>
    <s v="Mar"/>
    <x v="0"/>
    <x v="0"/>
    <n v="3"/>
    <x v="2"/>
    <s v="Classic Cars"/>
    <n v="173"/>
    <s v="S12_3891"/>
    <s v="Mini Gifts Distributors Ltd."/>
    <n v="4155551450"/>
    <s v="5677 Strong St."/>
    <s v="N/A"/>
    <s v="San Rafael"/>
    <s v="CA"/>
    <n v="97562"/>
    <s v="USA"/>
    <s v="NA"/>
    <s v="Nelson"/>
    <s v="Valarie"/>
    <s v="Medium"/>
  </r>
  <r>
    <n v="10397"/>
    <n v="32"/>
    <n v="80.55"/>
    <n v="5"/>
    <n v="2577.6"/>
    <d v="2005-03-28T00:00:00"/>
    <s v="Mar"/>
    <x v="0"/>
    <x v="0"/>
    <n v="3"/>
    <x v="2"/>
    <s v="Ships"/>
    <n v="86"/>
    <s v="S700_1938"/>
    <s v="Alpha Cognac"/>
    <s v="61.77.6555"/>
    <s v="1 rue Alsace-Lorraine"/>
    <s v="N/A"/>
    <s v="Toulouse"/>
    <s v="N/A"/>
    <n v="31000"/>
    <s v="France"/>
    <s v="EMEA"/>
    <s v="Roulet"/>
    <s v="Annette"/>
    <s v="Small"/>
  </r>
  <r>
    <n v="10398"/>
    <n v="33"/>
    <n v="100"/>
    <n v="11"/>
    <n v="4215.09"/>
    <d v="2005-03-30T00:00:00"/>
    <s v="Mar"/>
    <x v="0"/>
    <x v="0"/>
    <n v="3"/>
    <x v="2"/>
    <s v="Planes"/>
    <n v="157"/>
    <s v="S18_1662"/>
    <s v="Reims Collectables"/>
    <s v="26.47.1555"/>
    <s v="59 rue de l'Abbaye"/>
    <s v="N/A"/>
    <s v="Reims"/>
    <s v="N/A"/>
    <n v="51100"/>
    <s v="France"/>
    <s v="EMEA"/>
    <s v="Henriot"/>
    <s v="Paul"/>
    <s v="Medium"/>
  </r>
  <r>
    <n v="10400"/>
    <n v="64"/>
    <n v="100"/>
    <n v="9"/>
    <n v="9661.44"/>
    <d v="2005-04-01T00:00:00"/>
    <s v="Apr"/>
    <x v="0"/>
    <x v="1"/>
    <n v="4"/>
    <x v="2"/>
    <s v="Classic Cars"/>
    <n v="136"/>
    <s v="S10_4757"/>
    <s v="The Sharp Gifts Warehouse"/>
    <n v="4085553659"/>
    <s v="3086 Ingle Ln."/>
    <s v="N/A"/>
    <s v="San Jose"/>
    <s v="CA"/>
    <n v="94217"/>
    <s v="USA"/>
    <s v="NA"/>
    <s v="Frick"/>
    <s v="Sue"/>
    <s v="Large"/>
  </r>
  <r>
    <n v="10401"/>
    <n v="42"/>
    <n v="76.03"/>
    <n v="3"/>
    <n v="3193.26"/>
    <d v="2005-04-03T00:00:00"/>
    <s v="Apr"/>
    <x v="3"/>
    <x v="1"/>
    <n v="4"/>
    <x v="2"/>
    <s v="Planes"/>
    <n v="84"/>
    <s v="S18_2581"/>
    <s v="Tekni Collectables Inc."/>
    <n v="2015559350"/>
    <s v="7476 Moss Rd."/>
    <s v="N/A"/>
    <s v="Newark"/>
    <s v="NJ"/>
    <n v="94019"/>
    <s v="USA"/>
    <s v="NA"/>
    <s v="Brown"/>
    <s v="William"/>
    <s v="Medium"/>
  </r>
  <r>
    <n v="10402"/>
    <n v="45"/>
    <n v="100"/>
    <n v="1"/>
    <n v="5833.8"/>
    <d v="2005-04-07T00:00:00"/>
    <s v="Apr"/>
    <x v="0"/>
    <x v="1"/>
    <n v="4"/>
    <x v="2"/>
    <s v="Motorcycles"/>
    <n v="118"/>
    <s v="S10_2016"/>
    <s v="Auto Canal Petit"/>
    <s v="(1) 47.55.6555"/>
    <s v="25, rue Lauriston"/>
    <s v="N/A"/>
    <s v="Paris"/>
    <s v="N/A"/>
    <n v="75016"/>
    <s v="France"/>
    <s v="EMEA"/>
    <s v="Perrier"/>
    <s v="Dominique"/>
    <s v="Medium"/>
  </r>
  <r>
    <n v="10403"/>
    <n v="24"/>
    <n v="100"/>
    <n v="7"/>
    <n v="2434.56"/>
    <d v="2005-04-08T00:00:00"/>
    <s v="Apr"/>
    <x v="0"/>
    <x v="1"/>
    <n v="4"/>
    <x v="2"/>
    <s v="Motorcycles"/>
    <n v="95"/>
    <s v="S10_1678"/>
    <s v="UK Collectables, Ltd."/>
    <s v="(171) 555-2282"/>
    <s v="Berkeley Gardens 12  Brewery"/>
    <s v="N/A"/>
    <s v="Liverpool"/>
    <s v="N/A"/>
    <s v="WX1 6LT"/>
    <s v="UK"/>
    <s v="EMEA"/>
    <s v="Devon"/>
    <s v="Elizabeth"/>
    <s v="Small"/>
  </r>
  <r>
    <n v="10405"/>
    <n v="97"/>
    <n v="93.28"/>
    <n v="5"/>
    <n v="9048.16"/>
    <d v="2005-04-14T00:00:00"/>
    <s v="Apr"/>
    <x v="0"/>
    <x v="1"/>
    <n v="4"/>
    <x v="2"/>
    <s v="Classic Cars"/>
    <n v="115"/>
    <s v="S12_4675"/>
    <s v="Mini Caravy"/>
    <s v="88.60.1555"/>
    <s v="24, place Kluber"/>
    <s v="N/A"/>
    <s v="Strasbourg"/>
    <s v="N/A"/>
    <n v="67000"/>
    <s v="France"/>
    <s v="EMEA"/>
    <s v="Citeaux"/>
    <s v="Frederique"/>
    <s v="Large"/>
  </r>
  <r>
    <n v="10406"/>
    <n v="61"/>
    <n v="100"/>
    <n v="3"/>
    <n v="8374.69"/>
    <d v="2005-04-15T00:00:00"/>
    <s v="Apr"/>
    <x v="4"/>
    <x v="1"/>
    <n v="4"/>
    <x v="2"/>
    <s v="Classic Cars"/>
    <n v="141"/>
    <s v="S18_1129"/>
    <s v="Danish Wholesale Imports"/>
    <s v="31 12 3555"/>
    <s v="Vinb'ltet 34"/>
    <s v="N/A"/>
    <s v="Kobenhavn"/>
    <s v="N/A"/>
    <n v="1734"/>
    <s v="Denmark"/>
    <s v="EMEA"/>
    <s v="Petersen"/>
    <s v="Jytte"/>
    <s v="Large"/>
  </r>
  <r>
    <n v="10407"/>
    <n v="59"/>
    <n v="100"/>
    <n v="11"/>
    <n v="7048.14"/>
    <d v="2005-04-22T00:00:00"/>
    <s v="Apr"/>
    <x v="3"/>
    <x v="1"/>
    <n v="4"/>
    <x v="2"/>
    <s v="Classic Cars"/>
    <n v="124"/>
    <s v="S18_1589"/>
    <s v="The Sharp Gifts Warehouse"/>
    <n v="4085553659"/>
    <s v="3086 Ingle Ln."/>
    <s v="N/A"/>
    <s v="San Jose"/>
    <s v="CA"/>
    <n v="94217"/>
    <s v="USA"/>
    <s v="NA"/>
    <s v="Frick"/>
    <s v="Sue"/>
    <s v="Large"/>
  </r>
  <r>
    <n v="10408"/>
    <n v="15"/>
    <n v="36.93"/>
    <n v="1"/>
    <n v="553.95000000000005"/>
    <d v="2005-04-22T00:00:00"/>
    <s v="Apr"/>
    <x v="0"/>
    <x v="1"/>
    <n v="4"/>
    <x v="2"/>
    <s v="Vintage Cars"/>
    <n v="41"/>
    <s v="S24_3969"/>
    <s v="Tokyo Collectables, Ltd"/>
    <s v="+81 3 3584 0555"/>
    <s v="2-2-8 Roppongi"/>
    <s v="N/A"/>
    <s v="Minato-ku"/>
    <s v="Tokyo"/>
    <s v="106-0032"/>
    <s v="Japan"/>
    <s v="Japan"/>
    <s v="Shimamura"/>
    <s v="Akiko"/>
    <s v="Small"/>
  </r>
  <r>
    <n v="10409"/>
    <n v="6"/>
    <n v="100"/>
    <n v="2"/>
    <n v="785.64"/>
    <d v="2005-04-23T00:00:00"/>
    <s v="Apr"/>
    <x v="0"/>
    <x v="1"/>
    <n v="4"/>
    <x v="2"/>
    <s v="Vintage Cars"/>
    <n v="127"/>
    <s v="S18_2325"/>
    <s v="Handji Gifts&amp; Co"/>
    <s v="+65 224 1555"/>
    <s v="Village Close - 106 Linden Road Sandown"/>
    <s v="2nd Floor"/>
    <s v="Singapore"/>
    <s v="N/A"/>
    <n v="69045"/>
    <s v="Singapore"/>
    <s v="APAC"/>
    <s v="Victorino"/>
    <s v="Wendy"/>
    <s v="Small"/>
  </r>
  <r>
    <n v="10411"/>
    <n v="23"/>
    <n v="100"/>
    <n v="9"/>
    <n v="4140.2299999999996"/>
    <d v="2005-05-01T00:00:00"/>
    <s v="May"/>
    <x v="0"/>
    <x v="1"/>
    <n v="5"/>
    <x v="2"/>
    <s v="Classic Cars"/>
    <n v="214"/>
    <s v="S10_1949"/>
    <s v="Quebec Home Shopping Network"/>
    <s v="(514) 555-8054"/>
    <s v="43 rue St. Laurent"/>
    <s v="N/A"/>
    <s v="Montreal"/>
    <s v="Quebec"/>
    <s v="H1J 1C3"/>
    <s v="Canada"/>
    <s v="NA"/>
    <s v="Fresnisre"/>
    <s v="Jean"/>
    <s v="Medium"/>
  </r>
  <r>
    <n v="10412"/>
    <n v="54"/>
    <n v="100"/>
    <n v="5"/>
    <n v="5951.34"/>
    <d v="2005-05-03T00:00:00"/>
    <s v="May"/>
    <x v="0"/>
    <x v="1"/>
    <n v="5"/>
    <x v="2"/>
    <s v="Trucks and Buses"/>
    <n v="118"/>
    <s v="S12_4473"/>
    <s v="Euro Shopping Channel"/>
    <s v="(91) 555 94 44"/>
    <s v="C/ Moralzarzal, 86"/>
    <s v="N/A"/>
    <s v="Madrid"/>
    <s v="N/A"/>
    <n v="28034"/>
    <s v="Spain"/>
    <s v="EMEA"/>
    <s v="Freyre"/>
    <s v="Diego"/>
    <s v="Medium"/>
  </r>
  <r>
    <n v="10413"/>
    <n v="36"/>
    <n v="100"/>
    <n v="2"/>
    <n v="8677.7999999999993"/>
    <d v="2005-05-05T00:00:00"/>
    <s v="May"/>
    <x v="0"/>
    <x v="1"/>
    <n v="5"/>
    <x v="2"/>
    <s v="Classic Cars"/>
    <n v="207"/>
    <s v="S12_1108"/>
    <s v="Gift Depot Inc."/>
    <n v="2035552570"/>
    <s v="25593 South Bay Ln."/>
    <s v="N/A"/>
    <s v="Bridgewater"/>
    <s v="CT"/>
    <n v="97562"/>
    <s v="USA"/>
    <s v="NA"/>
    <s v="King"/>
    <s v="Julie"/>
    <s v="Large"/>
  </r>
  <r>
    <n v="10414"/>
    <n v="19"/>
    <n v="100"/>
    <n v="3"/>
    <n v="2764.88"/>
    <d v="2005-05-06T00:00:00"/>
    <s v="May"/>
    <x v="3"/>
    <x v="1"/>
    <n v="5"/>
    <x v="2"/>
    <s v="Classic Cars"/>
    <n v="136"/>
    <s v="S10_4757"/>
    <s v="Gifts4AllAges.com"/>
    <n v="6175559555"/>
    <s v="8616 Spinnaker Dr."/>
    <s v="N/A"/>
    <s v="Boston"/>
    <s v="MA"/>
    <n v="51003"/>
    <s v="USA"/>
    <s v="NA"/>
    <s v="Yoshido"/>
    <s v="Juri"/>
    <s v="Small"/>
  </r>
  <r>
    <n v="10415"/>
    <n v="51"/>
    <n v="100"/>
    <n v="5"/>
    <n v="6209.25"/>
    <d v="2005-05-09T00:00:00"/>
    <s v="May"/>
    <x v="4"/>
    <x v="1"/>
    <n v="5"/>
    <x v="2"/>
    <s v="Vintage Cars"/>
    <n v="105"/>
    <s v="S18_3856"/>
    <s v="Australian Collectables, Ltd"/>
    <s v="61-9-3844-6555"/>
    <s v="7 Allen Street"/>
    <s v="N/A"/>
    <s v="Glen Waverly"/>
    <s v="Victoria"/>
    <n v="3150"/>
    <s v="Australia"/>
    <s v="APAC"/>
    <s v="Connery"/>
    <s v="Sean"/>
    <s v="Medium"/>
  </r>
  <r>
    <n v="10416"/>
    <n v="24"/>
    <n v="100"/>
    <n v="14"/>
    <n v="4352.16"/>
    <d v="2005-05-10T00:00:00"/>
    <s v="May"/>
    <x v="0"/>
    <x v="1"/>
    <n v="5"/>
    <x v="2"/>
    <s v="Planes"/>
    <n v="157"/>
    <s v="S18_1662"/>
    <s v="L'ordine Souveniers"/>
    <s v="0522-556555"/>
    <s v="Strada Provinciale 124"/>
    <s v="N/A"/>
    <s v="Reggio Emilia"/>
    <s v="N/A"/>
    <n v="42100"/>
    <s v="Italy"/>
    <s v="EMEA"/>
    <s v="Moroni"/>
    <s v="Maurizio"/>
    <s v="Medium"/>
  </r>
  <r>
    <n v="10417"/>
    <n v="66"/>
    <n v="100"/>
    <n v="2"/>
    <n v="7516.08"/>
    <d v="2005-05-13T00:00:00"/>
    <s v="May"/>
    <x v="4"/>
    <x v="1"/>
    <n v="5"/>
    <x v="2"/>
    <s v="Motorcycles"/>
    <n v="95"/>
    <s v="S10_1678"/>
    <s v="Euro Shopping Channel"/>
    <s v="(91) 555 94 44"/>
    <s v="C/ Moralzarzal, 86"/>
    <s v="N/A"/>
    <s v="Madrid"/>
    <s v="N/A"/>
    <n v="28034"/>
    <s v="Spain"/>
    <s v="EMEA"/>
    <s v="Freyre"/>
    <s v="Diego"/>
    <s v="Large"/>
  </r>
  <r>
    <n v="10419"/>
    <n v="12"/>
    <n v="100"/>
    <n v="13"/>
    <n v="1961.28"/>
    <d v="2005-05-17T00:00:00"/>
    <s v="May"/>
    <x v="0"/>
    <x v="1"/>
    <n v="5"/>
    <x v="2"/>
    <s v="Classic Cars"/>
    <n v="194"/>
    <s v="S12_1099"/>
    <s v="Salzburg Collectables"/>
    <s v="6562-9555"/>
    <s v="Geislweg 14"/>
    <s v="N/A"/>
    <s v="Salzburg"/>
    <s v="N/A"/>
    <n v="5020"/>
    <s v="Austria"/>
    <s v="EMEA"/>
    <s v="Pipps"/>
    <s v="Georg"/>
    <s v="Small"/>
  </r>
  <r>
    <n v="10420"/>
    <n v="37"/>
    <n v="100"/>
    <n v="5"/>
    <n v="5283.6"/>
    <d v="2005-05-29T00:00:00"/>
    <s v="May"/>
    <x v="5"/>
    <x v="1"/>
    <n v="5"/>
    <x v="2"/>
    <s v="Vintage Cars"/>
    <n v="170"/>
    <s v="S18_1749"/>
    <s v="Souveniers And Things Co."/>
    <s v="+61 2 9495 8555"/>
    <s v="Monitor Money Building, 815 Pacific Hwy"/>
    <s v="Level 6"/>
    <s v="Chatswood"/>
    <s v="NSW"/>
    <n v="2067"/>
    <s v="Australia"/>
    <s v="APAC"/>
    <s v="Huxley"/>
    <s v="Adrian"/>
    <s v="Medium"/>
  </r>
  <r>
    <n v="10421"/>
    <n v="35"/>
    <n v="100"/>
    <n v="1"/>
    <n v="5433.75"/>
    <d v="2005-05-29T00:00:00"/>
    <s v="May"/>
    <x v="5"/>
    <x v="1"/>
    <n v="5"/>
    <x v="2"/>
    <s v="Vintage Cars"/>
    <n v="168"/>
    <s v="S18_2795"/>
    <s v="Mini Gifts Distributors Ltd."/>
    <n v="4155551450"/>
    <s v="5677 Strong St."/>
    <s v="N/A"/>
    <s v="San Rafael"/>
    <s v="CA"/>
    <n v="97562"/>
    <s v="USA"/>
    <s v="NA"/>
    <s v="Nelson"/>
    <s v="Valarie"/>
    <s v="Medium"/>
  </r>
  <r>
    <n v="10422"/>
    <n v="51"/>
    <n v="95.55"/>
    <n v="2"/>
    <n v="4873.05"/>
    <d v="2005-05-30T00:00:00"/>
    <s v="May"/>
    <x v="5"/>
    <x v="1"/>
    <n v="5"/>
    <x v="2"/>
    <s v="Vintage Cars"/>
    <n v="102"/>
    <s v="S18_1342"/>
    <s v="Diecast Classics Inc."/>
    <n v="2155551555"/>
    <s v="7586 Pompton St."/>
    <s v="N/A"/>
    <s v="Allentown"/>
    <s v="PA"/>
    <n v="70267"/>
    <s v="USA"/>
    <s v="NA"/>
    <s v="Yu"/>
    <s v="Kyung"/>
    <s v="Medium"/>
  </r>
  <r>
    <n v="10423"/>
    <n v="10"/>
    <n v="88.14"/>
    <n v="1"/>
    <n v="881.4"/>
    <d v="2005-05-30T00:00:00"/>
    <s v="May"/>
    <x v="5"/>
    <x v="1"/>
    <n v="5"/>
    <x v="2"/>
    <s v="Vintage Cars"/>
    <n v="101"/>
    <s v="S18_2949"/>
    <s v="Petit Auto"/>
    <s v="(02) 5554 67"/>
    <s v="Rue Joseph-Bens 532"/>
    <s v="N/A"/>
    <s v="Bruxelles"/>
    <s v="N/A"/>
    <s v="B-1180"/>
    <s v="Belgium"/>
    <s v="EMEA"/>
    <s v="Dewey"/>
    <s v="Catherine"/>
    <s v="Small"/>
  </r>
  <r>
    <n v="10424"/>
    <n v="50"/>
    <n v="100"/>
    <n v="6"/>
    <n v="12001"/>
    <d v="2005-05-31T00:00:00"/>
    <s v="May"/>
    <x v="5"/>
    <x v="1"/>
    <n v="5"/>
    <x v="2"/>
    <s v="Classic Cars"/>
    <n v="214"/>
    <s v="S10_1949"/>
    <s v="Euro Shopping Channel"/>
    <s v="(91) 555 94 44"/>
    <s v="C/ Moralzarzal, 86"/>
    <s v="N/A"/>
    <s v="Madrid"/>
    <s v="N/A"/>
    <n v="28034"/>
    <s v="Spain"/>
    <s v="EMEA"/>
    <s v="Freyre"/>
    <s v="Diego"/>
    <s v="Large"/>
  </r>
  <r>
    <n v="10425"/>
    <n v="38"/>
    <n v="100"/>
    <n v="12"/>
    <n v="5894.94"/>
    <d v="2005-05-31T00:00:00"/>
    <s v="May"/>
    <x v="5"/>
    <x v="1"/>
    <n v="5"/>
    <x v="2"/>
    <s v="Classic Cars"/>
    <n v="147"/>
    <s v="S10_4962"/>
    <s v="La Rochelle Gifts"/>
    <s v="40.67.8555"/>
    <s v="67, rue des Cinquante Otages"/>
    <s v="N/A"/>
    <s v="Nantes"/>
    <s v="N/A"/>
    <n v="44000"/>
    <s v="France"/>
    <s v="EMEA"/>
    <s v="Labrune"/>
    <s v="Janine"/>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D2D103-9CCB-4C92-BFAB-02068AF6892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Line">
  <location ref="I2:J11" firstHeaderRow="1" firstDataRow="1" firstDataCol="1"/>
  <pivotFields count="26">
    <pivotField showAll="0"/>
    <pivotField showAll="0"/>
    <pivotField showAll="0"/>
    <pivotField showAll="0"/>
    <pivotField dataField="1" showAll="0"/>
    <pivotField showAll="0"/>
    <pivotField showAll="0">
      <items count="14">
        <item x="7"/>
        <item x="0"/>
        <item x="11"/>
        <item x="8"/>
        <item x="1"/>
        <item x="9"/>
        <item x="2"/>
        <item x="3"/>
        <item x="10"/>
        <item x="4"/>
        <item x="5"/>
        <item x="6"/>
        <item x="12"/>
        <item t="default"/>
      </items>
    </pivotField>
    <pivotField showAll="0"/>
    <pivotField showAll="0"/>
    <pivotField showAll="0"/>
    <pivotField showAll="0"/>
    <pivotField axis="axisRow"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showAll="0">
      <items count="21">
        <item x="3"/>
        <item x="5"/>
        <item x="14"/>
        <item x="10"/>
        <item x="13"/>
        <item x="4"/>
        <item x="1"/>
        <item x="16"/>
        <item x="18"/>
        <item x="12"/>
        <item x="11"/>
        <item x="2"/>
        <item x="15"/>
        <item x="9"/>
        <item x="7"/>
        <item x="8"/>
        <item x="17"/>
        <item x="6"/>
        <item x="0"/>
        <item x="19"/>
        <item t="default"/>
      </items>
    </pivotField>
    <pivotField showAll="0"/>
    <pivotField showAll="0"/>
    <pivotField showAll="0"/>
    <pivotField showAll="0"/>
  </pivotFields>
  <rowFields count="1">
    <field x="11"/>
  </rowFields>
  <rowItems count="9">
    <i>
      <x/>
    </i>
    <i>
      <x v="1"/>
    </i>
    <i>
      <x v="2"/>
    </i>
    <i>
      <x v="3"/>
    </i>
    <i>
      <x v="4"/>
    </i>
    <i>
      <x v="5"/>
    </i>
    <i>
      <x v="6"/>
    </i>
    <i>
      <x v="7"/>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98E2B0-EC17-454E-A3CC-849C54BB5B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ountry">
  <location ref="F2:G23" firstHeaderRow="1" firstDataRow="1" firstDataCol="1"/>
  <pivotFields count="26">
    <pivotField showAll="0"/>
    <pivotField showAll="0"/>
    <pivotField showAll="0"/>
    <pivotField showAll="0"/>
    <pivotField dataField="1" showAll="0"/>
    <pivotField showAll="0">
      <items count="254">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x="252"/>
        <item t="default"/>
      </items>
    </pivotField>
    <pivotField showAll="0"/>
    <pivotField showAll="0"/>
    <pivotField showAll="0"/>
    <pivotField showAll="0"/>
    <pivotField showAll="0"/>
    <pivotField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axis="axisRow" showAll="0">
      <items count="21">
        <item x="3"/>
        <item x="5"/>
        <item x="14"/>
        <item x="10"/>
        <item x="13"/>
        <item x="4"/>
        <item x="1"/>
        <item x="16"/>
        <item x="18"/>
        <item x="12"/>
        <item x="11"/>
        <item x="2"/>
        <item x="15"/>
        <item x="9"/>
        <item x="7"/>
        <item x="8"/>
        <item x="17"/>
        <item x="6"/>
        <item x="0"/>
        <item x="19"/>
        <item t="default"/>
      </items>
    </pivotField>
    <pivotField showAll="0"/>
    <pivotField showAll="0"/>
    <pivotField showAll="0"/>
    <pivotField showAll="0"/>
  </pivotFields>
  <rowFields count="1">
    <field x="2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4" baseField="0" baseItem="0"/>
  </dataFields>
  <chartFormats count="21">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1" count="1" selected="0">
            <x v="0"/>
          </reference>
        </references>
      </pivotArea>
    </chartFormat>
    <chartFormat chart="4" format="4">
      <pivotArea type="data" outline="0" fieldPosition="0">
        <references count="2">
          <reference field="4294967294" count="1" selected="0">
            <x v="0"/>
          </reference>
          <reference field="21" count="1" selected="0">
            <x v="1"/>
          </reference>
        </references>
      </pivotArea>
    </chartFormat>
    <chartFormat chart="4" format="5">
      <pivotArea type="data" outline="0" fieldPosition="0">
        <references count="2">
          <reference field="4294967294" count="1" selected="0">
            <x v="0"/>
          </reference>
          <reference field="21" count="1" selected="0">
            <x v="2"/>
          </reference>
        </references>
      </pivotArea>
    </chartFormat>
    <chartFormat chart="4" format="6">
      <pivotArea type="data" outline="0" fieldPosition="0">
        <references count="2">
          <reference field="4294967294" count="1" selected="0">
            <x v="0"/>
          </reference>
          <reference field="21" count="1" selected="0">
            <x v="3"/>
          </reference>
        </references>
      </pivotArea>
    </chartFormat>
    <chartFormat chart="4" format="7">
      <pivotArea type="data" outline="0" fieldPosition="0">
        <references count="2">
          <reference field="4294967294" count="1" selected="0">
            <x v="0"/>
          </reference>
          <reference field="21" count="1" selected="0">
            <x v="4"/>
          </reference>
        </references>
      </pivotArea>
    </chartFormat>
    <chartFormat chart="4" format="8">
      <pivotArea type="data" outline="0" fieldPosition="0">
        <references count="2">
          <reference field="4294967294" count="1" selected="0">
            <x v="0"/>
          </reference>
          <reference field="21" count="1" selected="0">
            <x v="5"/>
          </reference>
        </references>
      </pivotArea>
    </chartFormat>
    <chartFormat chart="4" format="9">
      <pivotArea type="data" outline="0" fieldPosition="0">
        <references count="2">
          <reference field="4294967294" count="1" selected="0">
            <x v="0"/>
          </reference>
          <reference field="21" count="1" selected="0">
            <x v="6"/>
          </reference>
        </references>
      </pivotArea>
    </chartFormat>
    <chartFormat chart="4" format="10">
      <pivotArea type="data" outline="0" fieldPosition="0">
        <references count="2">
          <reference field="4294967294" count="1" selected="0">
            <x v="0"/>
          </reference>
          <reference field="21" count="1" selected="0">
            <x v="7"/>
          </reference>
        </references>
      </pivotArea>
    </chartFormat>
    <chartFormat chart="4" format="11">
      <pivotArea type="data" outline="0" fieldPosition="0">
        <references count="2">
          <reference field="4294967294" count="1" selected="0">
            <x v="0"/>
          </reference>
          <reference field="21" count="1" selected="0">
            <x v="8"/>
          </reference>
        </references>
      </pivotArea>
    </chartFormat>
    <chartFormat chart="4" format="12">
      <pivotArea type="data" outline="0" fieldPosition="0">
        <references count="2">
          <reference field="4294967294" count="1" selected="0">
            <x v="0"/>
          </reference>
          <reference field="21" count="1" selected="0">
            <x v="9"/>
          </reference>
        </references>
      </pivotArea>
    </chartFormat>
    <chartFormat chart="4" format="13">
      <pivotArea type="data" outline="0" fieldPosition="0">
        <references count="2">
          <reference field="4294967294" count="1" selected="0">
            <x v="0"/>
          </reference>
          <reference field="21" count="1" selected="0">
            <x v="10"/>
          </reference>
        </references>
      </pivotArea>
    </chartFormat>
    <chartFormat chart="4" format="14">
      <pivotArea type="data" outline="0" fieldPosition="0">
        <references count="2">
          <reference field="4294967294" count="1" selected="0">
            <x v="0"/>
          </reference>
          <reference field="21" count="1" selected="0">
            <x v="11"/>
          </reference>
        </references>
      </pivotArea>
    </chartFormat>
    <chartFormat chart="4" format="15">
      <pivotArea type="data" outline="0" fieldPosition="0">
        <references count="2">
          <reference field="4294967294" count="1" selected="0">
            <x v="0"/>
          </reference>
          <reference field="21" count="1" selected="0">
            <x v="12"/>
          </reference>
        </references>
      </pivotArea>
    </chartFormat>
    <chartFormat chart="4" format="16">
      <pivotArea type="data" outline="0" fieldPosition="0">
        <references count="2">
          <reference field="4294967294" count="1" selected="0">
            <x v="0"/>
          </reference>
          <reference field="21" count="1" selected="0">
            <x v="13"/>
          </reference>
        </references>
      </pivotArea>
    </chartFormat>
    <chartFormat chart="4" format="17">
      <pivotArea type="data" outline="0" fieldPosition="0">
        <references count="2">
          <reference field="4294967294" count="1" selected="0">
            <x v="0"/>
          </reference>
          <reference field="21" count="1" selected="0">
            <x v="14"/>
          </reference>
        </references>
      </pivotArea>
    </chartFormat>
    <chartFormat chart="4" format="18">
      <pivotArea type="data" outline="0" fieldPosition="0">
        <references count="2">
          <reference field="4294967294" count="1" selected="0">
            <x v="0"/>
          </reference>
          <reference field="21" count="1" selected="0">
            <x v="15"/>
          </reference>
        </references>
      </pivotArea>
    </chartFormat>
    <chartFormat chart="4" format="19">
      <pivotArea type="data" outline="0" fieldPosition="0">
        <references count="2">
          <reference field="4294967294" count="1" selected="0">
            <x v="0"/>
          </reference>
          <reference field="21" count="1" selected="0">
            <x v="16"/>
          </reference>
        </references>
      </pivotArea>
    </chartFormat>
    <chartFormat chart="4" format="20">
      <pivotArea type="data" outline="0" fieldPosition="0">
        <references count="2">
          <reference field="4294967294" count="1" selected="0">
            <x v="0"/>
          </reference>
          <reference field="21" count="1" selected="0">
            <x v="17"/>
          </reference>
        </references>
      </pivotArea>
    </chartFormat>
    <chartFormat chart="4" format="21">
      <pivotArea type="data" outline="0" fieldPosition="0">
        <references count="2">
          <reference field="4294967294" count="1" selected="0">
            <x v="0"/>
          </reference>
          <reference field="21" count="1" selected="0">
            <x v="18"/>
          </reference>
        </references>
      </pivotArea>
    </chartFormat>
    <chartFormat chart="4" format="22">
      <pivotArea type="data" outline="0" fieldPosition="0">
        <references count="2">
          <reference field="4294967294" count="1" selected="0">
            <x v="0"/>
          </reference>
          <reference field="2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FEB199-18C5-4596-A0D9-7097DA80BE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C13:D27" firstHeaderRow="1" firstDataRow="1" firstDataCol="1"/>
  <pivotFields count="26">
    <pivotField showAll="0"/>
    <pivotField showAll="0"/>
    <pivotField showAll="0"/>
    <pivotField showAll="0"/>
    <pivotField dataField="1" showAll="0"/>
    <pivotField showAll="0"/>
    <pivotField axis="axisRow" showAll="0">
      <items count="14">
        <item x="7"/>
        <item x="0"/>
        <item x="11"/>
        <item x="8"/>
        <item x="1"/>
        <item x="9"/>
        <item x="2"/>
        <item x="3"/>
        <item x="10"/>
        <item x="4"/>
        <item x="5"/>
        <item x="6"/>
        <item x="12"/>
        <item t="default"/>
      </items>
    </pivotField>
    <pivotField showAll="0"/>
    <pivotField showAll="0"/>
    <pivotField showAll="0"/>
    <pivotField showAll="0"/>
    <pivotField showAll="0">
      <items count="9">
        <item x="1"/>
        <item x="0"/>
        <item x="4"/>
        <item x="5"/>
        <item x="6"/>
        <item x="2"/>
        <item x="3"/>
        <item x="7"/>
        <item t="default"/>
      </items>
    </pivotField>
    <pivotField showAll="0"/>
    <pivotField showAll="0"/>
    <pivotField showAll="0"/>
    <pivotField showAll="0"/>
    <pivotField showAll="0"/>
    <pivotField showAll="0"/>
    <pivotField showAll="0"/>
    <pivotField showAll="0"/>
    <pivotField showAll="0"/>
    <pivotField showAll="0">
      <items count="21">
        <item x="3"/>
        <item x="5"/>
        <item x="14"/>
        <item x="10"/>
        <item x="13"/>
        <item x="4"/>
        <item x="1"/>
        <item x="16"/>
        <item x="18"/>
        <item x="12"/>
        <item x="11"/>
        <item x="2"/>
        <item x="15"/>
        <item x="9"/>
        <item x="7"/>
        <item x="8"/>
        <item x="17"/>
        <item x="6"/>
        <item x="0"/>
        <item x="19"/>
        <item t="default"/>
      </items>
    </pivotField>
    <pivotField showAll="0"/>
    <pivotField showAll="0"/>
    <pivotField showAll="0"/>
    <pivotField showAll="0"/>
  </pivotFields>
  <rowFields count="1">
    <field x="6"/>
  </rowFields>
  <rowItems count="14">
    <i>
      <x/>
    </i>
    <i>
      <x v="1"/>
    </i>
    <i>
      <x v="2"/>
    </i>
    <i>
      <x v="3"/>
    </i>
    <i>
      <x v="4"/>
    </i>
    <i>
      <x v="5"/>
    </i>
    <i>
      <x v="6"/>
    </i>
    <i>
      <x v="7"/>
    </i>
    <i>
      <x v="8"/>
    </i>
    <i>
      <x v="9"/>
    </i>
    <i>
      <x v="10"/>
    </i>
    <i>
      <x v="11"/>
    </i>
    <i>
      <x v="12"/>
    </i>
    <i t="grand">
      <x/>
    </i>
  </rowItems>
  <colItems count="1">
    <i/>
  </colItems>
  <dataFields count="1">
    <dataField name="Sum of SALES" fld="4"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86F2AB-0B36-4CB0-A9F5-3EA71924D26A}"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QTR_ID">
  <location ref="I13:M19" firstHeaderRow="1" firstDataRow="2" firstDataCol="1"/>
  <pivotFields count="26">
    <pivotField showAll="0"/>
    <pivotField showAll="0"/>
    <pivotField showAll="0"/>
    <pivotField showAll="0"/>
    <pivotField dataField="1" showAll="0"/>
    <pivotField numFmtId="14" showAll="0"/>
    <pivotField showAll="0"/>
    <pivotField showAll="0"/>
    <pivotField axis="axisRow" showAll="0">
      <items count="5">
        <item x="0"/>
        <item x="1"/>
        <item x="2"/>
        <item x="3"/>
        <item t="default"/>
      </items>
    </pivotField>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5">
    <i>
      <x/>
    </i>
    <i>
      <x v="1"/>
    </i>
    <i>
      <x v="2"/>
    </i>
    <i>
      <x v="3"/>
    </i>
    <i t="grand">
      <x/>
    </i>
  </rowItems>
  <colFields count="1">
    <field x="10"/>
  </colFields>
  <colItems count="4">
    <i>
      <x/>
    </i>
    <i>
      <x v="1"/>
    </i>
    <i>
      <x v="2"/>
    </i>
    <i t="grand">
      <x/>
    </i>
  </colItems>
  <dataFields count="1">
    <dataField name="Sum of SALES" fld="4" baseField="0"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6" format="6" series="1">
      <pivotArea type="data" outline="0" fieldPosition="0">
        <references count="2">
          <reference field="4294967294" count="1" selected="0">
            <x v="0"/>
          </reference>
          <reference field="10" count="1" selected="0">
            <x v="0"/>
          </reference>
        </references>
      </pivotArea>
    </chartFormat>
    <chartFormat chart="6" format="7" series="1">
      <pivotArea type="data" outline="0" fieldPosition="0">
        <references count="2">
          <reference field="4294967294" count="1" selected="0">
            <x v="0"/>
          </reference>
          <reference field="10" count="1" selected="0">
            <x v="1"/>
          </reference>
        </references>
      </pivotArea>
    </chartFormat>
    <chartFormat chart="6"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38F4BB-9787-48E5-B370-3C2C63955520}"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QTR_ID">
  <location ref="C4:D11" firstHeaderRow="1" firstDataRow="1" firstDataCol="1"/>
  <pivotFields count="26">
    <pivotField dataField="1" showAll="0"/>
    <pivotField showAll="0"/>
    <pivotField showAll="0"/>
    <pivotField showAll="0"/>
    <pivotField showAll="0"/>
    <pivotField numFmtId="14" showAll="0"/>
    <pivotField showAll="0"/>
    <pivotField axis="axisRow" showAll="0">
      <items count="7">
        <item x="2"/>
        <item x="4"/>
        <item x="5"/>
        <item x="3"/>
        <item x="1"/>
        <item x="0"/>
        <item t="default"/>
      </items>
    </pivotField>
    <pivotField showAll="0">
      <items count="5">
        <item x="0"/>
        <item x="1"/>
        <item x="2"/>
        <item x="3"/>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ORDERNUMBER" fld="0" subtotal="count" baseField="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6E56A8CB-AC86-4CBF-9412-8C1FADC0AE1B}" sourceName="PRODUCTLINE">
  <pivotTables>
    <pivotTable tabId="9" name="PivotTable3"/>
    <pivotTable tabId="9" name="PivotTable2"/>
    <pivotTable tabId="9" name="PivotTable7"/>
  </pivotTables>
  <data>
    <tabular pivotCacheId="1723463049">
      <items count="8">
        <i x="1" s="1"/>
        <i x="0" s="1"/>
        <i x="4" s="1"/>
        <i x="5" s="1"/>
        <i x="6" s="1"/>
        <i x="2" s="1"/>
        <i x="3"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1CA69CC5-C5D8-419D-86D1-1E614A11B68C}" sourceName="YEAR_ID">
  <pivotTables>
    <pivotTable tabId="9" name="PivotTable6"/>
    <pivotTable tabId="9" name="PivotTable1"/>
  </pivotTables>
  <data>
    <tabular pivotCacheId="18475160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2128A980-8303-402B-A8CF-A928B48EE6CD}" cache="Slicer_PRODUCTLINE" caption="PRODUCTLINE" style="SlicerStyleLight3" rowHeight="247650"/>
  <slicer name="YEAR_ID" xr10:uid="{FBBF9344-625C-496D-8653-8844A833D8ED}" cache="Slicer_YEAR_ID" caption="YEAR_ID"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3EB3A-F937-4512-9422-895AECA4E8B7}">
  <dimension ref="A1:Y308"/>
  <sheetViews>
    <sheetView workbookViewId="0">
      <selection activeCell="A6" sqref="A6"/>
    </sheetView>
  </sheetViews>
  <sheetFormatPr defaultRowHeight="14.4" x14ac:dyDescent="0.3"/>
  <cols>
    <col min="1" max="1" width="13.88671875" bestFit="1" customWidth="1"/>
    <col min="2" max="2" width="17.33203125" bestFit="1" customWidth="1"/>
    <col min="3" max="3" width="10.33203125" bestFit="1" customWidth="1"/>
    <col min="4" max="4" width="17.6640625" bestFit="1" customWidth="1"/>
    <col min="5" max="5" width="7.77734375" bestFit="1" customWidth="1"/>
    <col min="6" max="6" width="19" customWidth="1"/>
    <col min="7" max="7" width="9.21875" bestFit="1" customWidth="1"/>
    <col min="8" max="8" width="6.77734375" bestFit="1" customWidth="1"/>
    <col min="9" max="9" width="9.6640625" bestFit="1" customWidth="1"/>
    <col min="10" max="10" width="7.5546875" bestFit="1" customWidth="1"/>
    <col min="11" max="11" width="14.88671875" bestFit="1" customWidth="1"/>
    <col min="12" max="12" width="5.44140625" bestFit="1" customWidth="1"/>
    <col min="13" max="13" width="14.109375" bestFit="1" customWidth="1"/>
    <col min="14" max="14" width="29" bestFit="1" customWidth="1"/>
    <col min="15" max="15" width="15.33203125" bestFit="1" customWidth="1"/>
    <col min="16" max="16" width="37.6640625" bestFit="1" customWidth="1"/>
    <col min="17" max="17" width="13.21875" bestFit="1" customWidth="1"/>
    <col min="18" max="18" width="13" bestFit="1" customWidth="1"/>
    <col min="19" max="19" width="10.5546875" bestFit="1" customWidth="1"/>
    <col min="20" max="20" width="12.109375" bestFit="1" customWidth="1"/>
    <col min="21" max="21" width="10.109375" bestFit="1" customWidth="1"/>
    <col min="22" max="22" width="9.77734375" bestFit="1" customWidth="1"/>
    <col min="23" max="23" width="17.77734375" bestFit="1" customWidth="1"/>
    <col min="24" max="24" width="18.33203125" bestFit="1" customWidth="1"/>
    <col min="25" max="25" width="8.441406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10107</v>
      </c>
      <c r="B2">
        <v>30</v>
      </c>
      <c r="C2">
        <v>95.7</v>
      </c>
      <c r="D2">
        <v>2</v>
      </c>
      <c r="E2">
        <v>2871</v>
      </c>
      <c r="F2" t="s">
        <v>25</v>
      </c>
      <c r="G2" t="s">
        <v>26</v>
      </c>
      <c r="H2">
        <v>1</v>
      </c>
      <c r="I2">
        <v>2</v>
      </c>
      <c r="J2">
        <v>2003</v>
      </c>
      <c r="K2" t="s">
        <v>27</v>
      </c>
      <c r="L2">
        <v>95</v>
      </c>
      <c r="M2" t="s">
        <v>28</v>
      </c>
      <c r="N2" t="s">
        <v>29</v>
      </c>
      <c r="O2">
        <v>2125557818</v>
      </c>
      <c r="P2" t="s">
        <v>30</v>
      </c>
      <c r="R2" t="s">
        <v>31</v>
      </c>
      <c r="S2" t="s">
        <v>32</v>
      </c>
      <c r="T2">
        <v>10022</v>
      </c>
      <c r="U2" t="s">
        <v>33</v>
      </c>
      <c r="V2" t="s">
        <v>34</v>
      </c>
      <c r="W2" t="s">
        <v>35</v>
      </c>
      <c r="X2" t="s">
        <v>36</v>
      </c>
      <c r="Y2" t="s">
        <v>37</v>
      </c>
    </row>
    <row r="3" spans="1:25" x14ac:dyDescent="0.3">
      <c r="A3">
        <v>10121</v>
      </c>
      <c r="B3">
        <v>34</v>
      </c>
      <c r="C3">
        <v>81.349999999999994</v>
      </c>
      <c r="D3">
        <v>5</v>
      </c>
      <c r="E3">
        <v>2765.9</v>
      </c>
      <c r="F3" s="1">
        <v>37807</v>
      </c>
      <c r="G3" t="s">
        <v>26</v>
      </c>
      <c r="H3">
        <v>2</v>
      </c>
      <c r="I3">
        <v>5</v>
      </c>
      <c r="J3">
        <v>2003</v>
      </c>
      <c r="K3" t="s">
        <v>27</v>
      </c>
      <c r="L3">
        <v>95</v>
      </c>
      <c r="M3" t="s">
        <v>28</v>
      </c>
      <c r="N3" t="s">
        <v>38</v>
      </c>
      <c r="O3" t="s">
        <v>39</v>
      </c>
      <c r="P3" t="s">
        <v>40</v>
      </c>
      <c r="R3" t="s">
        <v>41</v>
      </c>
      <c r="T3">
        <v>51100</v>
      </c>
      <c r="U3" t="s">
        <v>42</v>
      </c>
      <c r="V3" t="s">
        <v>43</v>
      </c>
      <c r="W3" t="s">
        <v>44</v>
      </c>
      <c r="X3" t="s">
        <v>45</v>
      </c>
      <c r="Y3" t="s">
        <v>37</v>
      </c>
    </row>
    <row r="4" spans="1:25" x14ac:dyDescent="0.3">
      <c r="A4">
        <v>10134</v>
      </c>
      <c r="B4">
        <v>41</v>
      </c>
      <c r="C4">
        <v>94.74</v>
      </c>
      <c r="D4">
        <v>2</v>
      </c>
      <c r="E4">
        <v>3884.34</v>
      </c>
      <c r="F4" s="1">
        <v>37628</v>
      </c>
      <c r="G4" t="s">
        <v>26</v>
      </c>
      <c r="H4">
        <v>3</v>
      </c>
      <c r="I4">
        <v>7</v>
      </c>
      <c r="J4">
        <v>2003</v>
      </c>
      <c r="K4" t="s">
        <v>27</v>
      </c>
      <c r="L4">
        <v>95</v>
      </c>
      <c r="M4" t="s">
        <v>28</v>
      </c>
      <c r="N4" t="s">
        <v>46</v>
      </c>
      <c r="O4" t="s">
        <v>47</v>
      </c>
      <c r="P4" t="s">
        <v>48</v>
      </c>
      <c r="R4" t="s">
        <v>49</v>
      </c>
      <c r="T4">
        <v>75508</v>
      </c>
      <c r="U4" t="s">
        <v>42</v>
      </c>
      <c r="V4" t="s">
        <v>43</v>
      </c>
      <c r="W4" t="s">
        <v>50</v>
      </c>
      <c r="X4" t="s">
        <v>51</v>
      </c>
      <c r="Y4" t="s">
        <v>52</v>
      </c>
    </row>
    <row r="5" spans="1:25" x14ac:dyDescent="0.3">
      <c r="A5">
        <v>10145</v>
      </c>
      <c r="B5">
        <v>45</v>
      </c>
      <c r="C5">
        <v>83.26</v>
      </c>
      <c r="D5">
        <v>6</v>
      </c>
      <c r="E5">
        <v>3746.7</v>
      </c>
      <c r="F5" t="s">
        <v>53</v>
      </c>
      <c r="G5" t="s">
        <v>26</v>
      </c>
      <c r="H5">
        <v>3</v>
      </c>
      <c r="I5">
        <v>8</v>
      </c>
      <c r="J5">
        <v>2003</v>
      </c>
      <c r="K5" t="s">
        <v>27</v>
      </c>
      <c r="L5">
        <v>95</v>
      </c>
      <c r="M5" t="s">
        <v>28</v>
      </c>
      <c r="N5" t="s">
        <v>54</v>
      </c>
      <c r="O5">
        <v>6265557265</v>
      </c>
      <c r="P5" t="s">
        <v>55</v>
      </c>
      <c r="R5" t="s">
        <v>56</v>
      </c>
      <c r="S5" t="s">
        <v>57</v>
      </c>
      <c r="T5">
        <v>90003</v>
      </c>
      <c r="U5" t="s">
        <v>33</v>
      </c>
      <c r="V5" t="s">
        <v>34</v>
      </c>
      <c r="W5" t="s">
        <v>58</v>
      </c>
      <c r="X5" t="s">
        <v>59</v>
      </c>
      <c r="Y5" t="s">
        <v>52</v>
      </c>
    </row>
    <row r="6" spans="1:25" x14ac:dyDescent="0.3">
      <c r="A6">
        <v>10159</v>
      </c>
      <c r="B6">
        <v>49</v>
      </c>
      <c r="C6">
        <v>100</v>
      </c>
      <c r="D6">
        <v>14</v>
      </c>
      <c r="E6">
        <v>5205.2700000000004</v>
      </c>
      <c r="F6" s="1">
        <v>37904</v>
      </c>
      <c r="G6" t="s">
        <v>26</v>
      </c>
      <c r="H6">
        <v>4</v>
      </c>
      <c r="I6">
        <v>10</v>
      </c>
      <c r="J6">
        <v>2003</v>
      </c>
      <c r="K6" t="s">
        <v>27</v>
      </c>
      <c r="L6">
        <v>95</v>
      </c>
      <c r="M6" t="s">
        <v>28</v>
      </c>
      <c r="N6" t="s">
        <v>60</v>
      </c>
      <c r="O6">
        <v>6505551386</v>
      </c>
      <c r="P6" t="s">
        <v>61</v>
      </c>
      <c r="R6" t="s">
        <v>62</v>
      </c>
      <c r="S6" t="s">
        <v>57</v>
      </c>
      <c r="U6" t="s">
        <v>33</v>
      </c>
      <c r="V6" t="s">
        <v>34</v>
      </c>
      <c r="W6" t="s">
        <v>63</v>
      </c>
      <c r="X6" t="s">
        <v>59</v>
      </c>
      <c r="Y6" t="s">
        <v>52</v>
      </c>
    </row>
    <row r="7" spans="1:25" x14ac:dyDescent="0.3">
      <c r="A7">
        <v>10168</v>
      </c>
      <c r="B7">
        <v>36</v>
      </c>
      <c r="C7">
        <v>96.66</v>
      </c>
      <c r="D7">
        <v>1</v>
      </c>
      <c r="E7">
        <v>3479.76</v>
      </c>
      <c r="F7" t="s">
        <v>64</v>
      </c>
      <c r="G7" t="s">
        <v>26</v>
      </c>
      <c r="H7">
        <v>4</v>
      </c>
      <c r="I7">
        <v>10</v>
      </c>
      <c r="J7">
        <v>2003</v>
      </c>
      <c r="K7" t="s">
        <v>27</v>
      </c>
      <c r="L7">
        <v>95</v>
      </c>
      <c r="M7" t="s">
        <v>28</v>
      </c>
      <c r="N7" t="s">
        <v>65</v>
      </c>
      <c r="O7">
        <v>6505556809</v>
      </c>
      <c r="P7" t="s">
        <v>66</v>
      </c>
      <c r="R7" t="s">
        <v>67</v>
      </c>
      <c r="S7" t="s">
        <v>57</v>
      </c>
      <c r="T7">
        <v>94217</v>
      </c>
      <c r="U7" t="s">
        <v>33</v>
      </c>
      <c r="V7" t="s">
        <v>34</v>
      </c>
      <c r="W7" t="s">
        <v>68</v>
      </c>
      <c r="X7" t="s">
        <v>69</v>
      </c>
      <c r="Y7" t="s">
        <v>52</v>
      </c>
    </row>
    <row r="8" spans="1:25" x14ac:dyDescent="0.3">
      <c r="A8">
        <v>10180</v>
      </c>
      <c r="B8">
        <v>29</v>
      </c>
      <c r="C8">
        <v>86.13</v>
      </c>
      <c r="D8">
        <v>9</v>
      </c>
      <c r="E8">
        <v>2497.77</v>
      </c>
      <c r="F8" s="1">
        <v>37936</v>
      </c>
      <c r="G8" t="s">
        <v>26</v>
      </c>
      <c r="H8">
        <v>4</v>
      </c>
      <c r="I8">
        <v>11</v>
      </c>
      <c r="J8">
        <v>2003</v>
      </c>
      <c r="K8" t="s">
        <v>27</v>
      </c>
      <c r="L8">
        <v>95</v>
      </c>
      <c r="M8" t="s">
        <v>28</v>
      </c>
      <c r="N8" t="s">
        <v>70</v>
      </c>
      <c r="O8" t="s">
        <v>71</v>
      </c>
      <c r="P8" t="s">
        <v>72</v>
      </c>
      <c r="R8" t="s">
        <v>73</v>
      </c>
      <c r="T8">
        <v>59000</v>
      </c>
      <c r="U8" t="s">
        <v>42</v>
      </c>
      <c r="V8" t="s">
        <v>43</v>
      </c>
      <c r="W8" t="s">
        <v>74</v>
      </c>
      <c r="X8" t="s">
        <v>75</v>
      </c>
      <c r="Y8" t="s">
        <v>37</v>
      </c>
    </row>
    <row r="9" spans="1:25" x14ac:dyDescent="0.3">
      <c r="A9">
        <v>10188</v>
      </c>
      <c r="B9">
        <v>48</v>
      </c>
      <c r="C9">
        <v>100</v>
      </c>
      <c r="D9">
        <v>1</v>
      </c>
      <c r="E9">
        <v>5512.32</v>
      </c>
      <c r="F9" t="s">
        <v>76</v>
      </c>
      <c r="G9" t="s">
        <v>26</v>
      </c>
      <c r="H9">
        <v>4</v>
      </c>
      <c r="I9">
        <v>11</v>
      </c>
      <c r="J9">
        <v>2003</v>
      </c>
      <c r="K9" t="s">
        <v>27</v>
      </c>
      <c r="L9">
        <v>95</v>
      </c>
      <c r="M9" t="s">
        <v>28</v>
      </c>
      <c r="N9" t="s">
        <v>77</v>
      </c>
      <c r="O9" t="s">
        <v>78</v>
      </c>
      <c r="P9" t="s">
        <v>79</v>
      </c>
      <c r="R9" t="s">
        <v>80</v>
      </c>
      <c r="T9" t="s">
        <v>81</v>
      </c>
      <c r="U9" t="s">
        <v>82</v>
      </c>
      <c r="V9" t="s">
        <v>43</v>
      </c>
      <c r="W9" t="s">
        <v>83</v>
      </c>
      <c r="X9" t="s">
        <v>84</v>
      </c>
      <c r="Y9" t="s">
        <v>52</v>
      </c>
    </row>
    <row r="10" spans="1:25" x14ac:dyDescent="0.3">
      <c r="A10">
        <v>10201</v>
      </c>
      <c r="B10">
        <v>22</v>
      </c>
      <c r="C10">
        <v>98.57</v>
      </c>
      <c r="D10">
        <v>2</v>
      </c>
      <c r="E10">
        <v>2168.54</v>
      </c>
      <c r="F10" s="1">
        <v>37633</v>
      </c>
      <c r="G10" t="s">
        <v>26</v>
      </c>
      <c r="H10">
        <v>4</v>
      </c>
      <c r="I10">
        <v>12</v>
      </c>
      <c r="J10">
        <v>2003</v>
      </c>
      <c r="K10" t="s">
        <v>27</v>
      </c>
      <c r="L10">
        <v>95</v>
      </c>
      <c r="M10" t="s">
        <v>28</v>
      </c>
      <c r="N10" t="s">
        <v>85</v>
      </c>
      <c r="O10">
        <v>6505555787</v>
      </c>
      <c r="P10" t="s">
        <v>86</v>
      </c>
      <c r="R10" t="s">
        <v>62</v>
      </c>
      <c r="S10" t="s">
        <v>57</v>
      </c>
      <c r="U10" t="s">
        <v>33</v>
      </c>
      <c r="V10" t="s">
        <v>34</v>
      </c>
      <c r="W10" t="s">
        <v>87</v>
      </c>
      <c r="X10" t="s">
        <v>59</v>
      </c>
      <c r="Y10" t="s">
        <v>37</v>
      </c>
    </row>
    <row r="11" spans="1:25" x14ac:dyDescent="0.3">
      <c r="A11">
        <v>10211</v>
      </c>
      <c r="B11">
        <v>41</v>
      </c>
      <c r="C11">
        <v>100</v>
      </c>
      <c r="D11">
        <v>14</v>
      </c>
      <c r="E11">
        <v>4708.4399999999996</v>
      </c>
      <c r="F11" t="s">
        <v>88</v>
      </c>
      <c r="G11" t="s">
        <v>26</v>
      </c>
      <c r="H11">
        <v>1</v>
      </c>
      <c r="I11">
        <v>1</v>
      </c>
      <c r="J11">
        <v>2004</v>
      </c>
      <c r="K11" t="s">
        <v>27</v>
      </c>
      <c r="L11">
        <v>95</v>
      </c>
      <c r="M11" t="s">
        <v>28</v>
      </c>
      <c r="N11" t="s">
        <v>89</v>
      </c>
      <c r="O11" t="s">
        <v>90</v>
      </c>
      <c r="P11" t="s">
        <v>91</v>
      </c>
      <c r="R11" t="s">
        <v>49</v>
      </c>
      <c r="T11">
        <v>75016</v>
      </c>
      <c r="U11" t="s">
        <v>42</v>
      </c>
      <c r="V11" t="s">
        <v>43</v>
      </c>
      <c r="W11" t="s">
        <v>92</v>
      </c>
      <c r="X11" t="s">
        <v>93</v>
      </c>
      <c r="Y11" t="s">
        <v>52</v>
      </c>
    </row>
    <row r="12" spans="1:25" x14ac:dyDescent="0.3">
      <c r="A12">
        <v>10223</v>
      </c>
      <c r="B12">
        <v>37</v>
      </c>
      <c r="C12">
        <v>100</v>
      </c>
      <c r="D12">
        <v>1</v>
      </c>
      <c r="E12">
        <v>3965.66</v>
      </c>
      <c r="F12" t="s">
        <v>94</v>
      </c>
      <c r="G12" t="s">
        <v>26</v>
      </c>
      <c r="H12">
        <v>1</v>
      </c>
      <c r="I12">
        <v>2</v>
      </c>
      <c r="J12">
        <v>2004</v>
      </c>
      <c r="K12" t="s">
        <v>27</v>
      </c>
      <c r="L12">
        <v>95</v>
      </c>
      <c r="M12" t="s">
        <v>28</v>
      </c>
      <c r="N12" t="s">
        <v>95</v>
      </c>
      <c r="O12" t="s">
        <v>96</v>
      </c>
      <c r="P12" t="s">
        <v>97</v>
      </c>
      <c r="Q12" t="s">
        <v>98</v>
      </c>
      <c r="R12" t="s">
        <v>99</v>
      </c>
      <c r="S12" t="s">
        <v>100</v>
      </c>
      <c r="T12">
        <v>3004</v>
      </c>
      <c r="U12" t="s">
        <v>101</v>
      </c>
      <c r="V12" t="s">
        <v>102</v>
      </c>
      <c r="W12" t="s">
        <v>103</v>
      </c>
      <c r="X12" t="s">
        <v>104</v>
      </c>
      <c r="Y12" t="s">
        <v>52</v>
      </c>
    </row>
    <row r="13" spans="1:25" x14ac:dyDescent="0.3">
      <c r="A13">
        <v>10237</v>
      </c>
      <c r="B13">
        <v>23</v>
      </c>
      <c r="C13">
        <v>100</v>
      </c>
      <c r="D13">
        <v>7</v>
      </c>
      <c r="E13">
        <v>2333.12</v>
      </c>
      <c r="F13" s="1">
        <v>38111</v>
      </c>
      <c r="G13" t="s">
        <v>26</v>
      </c>
      <c r="H13">
        <v>2</v>
      </c>
      <c r="I13">
        <v>4</v>
      </c>
      <c r="J13">
        <v>2004</v>
      </c>
      <c r="K13" t="s">
        <v>27</v>
      </c>
      <c r="L13">
        <v>95</v>
      </c>
      <c r="M13" t="s">
        <v>28</v>
      </c>
      <c r="N13" t="s">
        <v>105</v>
      </c>
      <c r="O13">
        <v>2125551500</v>
      </c>
      <c r="P13" t="s">
        <v>106</v>
      </c>
      <c r="Q13" t="s">
        <v>107</v>
      </c>
      <c r="R13" t="s">
        <v>31</v>
      </c>
      <c r="S13" t="s">
        <v>32</v>
      </c>
      <c r="T13">
        <v>10022</v>
      </c>
      <c r="U13" t="s">
        <v>33</v>
      </c>
      <c r="V13" t="s">
        <v>34</v>
      </c>
      <c r="W13" t="s">
        <v>108</v>
      </c>
      <c r="X13" t="s">
        <v>109</v>
      </c>
      <c r="Y13" t="s">
        <v>37</v>
      </c>
    </row>
    <row r="14" spans="1:25" x14ac:dyDescent="0.3">
      <c r="A14">
        <v>10251</v>
      </c>
      <c r="B14">
        <v>28</v>
      </c>
      <c r="C14">
        <v>100</v>
      </c>
      <c r="D14">
        <v>2</v>
      </c>
      <c r="E14">
        <v>3188.64</v>
      </c>
      <c r="F14" t="s">
        <v>110</v>
      </c>
      <c r="G14" t="s">
        <v>26</v>
      </c>
      <c r="H14">
        <v>2</v>
      </c>
      <c r="I14">
        <v>5</v>
      </c>
      <c r="J14">
        <v>2004</v>
      </c>
      <c r="K14" t="s">
        <v>27</v>
      </c>
      <c r="L14">
        <v>95</v>
      </c>
      <c r="M14" t="s">
        <v>28</v>
      </c>
      <c r="N14" t="s">
        <v>111</v>
      </c>
      <c r="O14">
        <v>2015559350</v>
      </c>
      <c r="P14" t="s">
        <v>112</v>
      </c>
      <c r="R14" t="s">
        <v>113</v>
      </c>
      <c r="S14" t="s">
        <v>114</v>
      </c>
      <c r="T14">
        <v>94019</v>
      </c>
      <c r="U14" t="s">
        <v>33</v>
      </c>
      <c r="V14" t="s">
        <v>34</v>
      </c>
      <c r="W14" t="s">
        <v>63</v>
      </c>
      <c r="X14" t="s">
        <v>115</v>
      </c>
      <c r="Y14" t="s">
        <v>52</v>
      </c>
    </row>
    <row r="15" spans="1:25" x14ac:dyDescent="0.3">
      <c r="A15">
        <v>10263</v>
      </c>
      <c r="B15">
        <v>34</v>
      </c>
      <c r="C15">
        <v>100</v>
      </c>
      <c r="D15">
        <v>2</v>
      </c>
      <c r="E15">
        <v>3676.76</v>
      </c>
      <c r="F15" t="s">
        <v>116</v>
      </c>
      <c r="G15" t="s">
        <v>26</v>
      </c>
      <c r="H15">
        <v>2</v>
      </c>
      <c r="I15">
        <v>6</v>
      </c>
      <c r="J15">
        <v>2004</v>
      </c>
      <c r="K15" t="s">
        <v>27</v>
      </c>
      <c r="L15">
        <v>95</v>
      </c>
      <c r="M15" t="s">
        <v>28</v>
      </c>
      <c r="N15" t="s">
        <v>117</v>
      </c>
      <c r="O15">
        <v>2035552570</v>
      </c>
      <c r="P15" t="s">
        <v>118</v>
      </c>
      <c r="R15" t="s">
        <v>119</v>
      </c>
      <c r="S15" t="s">
        <v>120</v>
      </c>
      <c r="T15">
        <v>97562</v>
      </c>
      <c r="U15" t="s">
        <v>33</v>
      </c>
      <c r="V15" t="s">
        <v>34</v>
      </c>
      <c r="W15" t="s">
        <v>121</v>
      </c>
      <c r="X15" t="s">
        <v>59</v>
      </c>
      <c r="Y15" t="s">
        <v>52</v>
      </c>
    </row>
    <row r="16" spans="1:25" x14ac:dyDescent="0.3">
      <c r="A16">
        <v>10275</v>
      </c>
      <c r="B16">
        <v>45</v>
      </c>
      <c r="C16">
        <v>92.83</v>
      </c>
      <c r="D16">
        <v>1</v>
      </c>
      <c r="E16">
        <v>4177.3500000000004</v>
      </c>
      <c r="F16" t="s">
        <v>122</v>
      </c>
      <c r="G16" t="s">
        <v>26</v>
      </c>
      <c r="H16">
        <v>3</v>
      </c>
      <c r="I16">
        <v>7</v>
      </c>
      <c r="J16">
        <v>2004</v>
      </c>
      <c r="K16" t="s">
        <v>27</v>
      </c>
      <c r="L16">
        <v>95</v>
      </c>
      <c r="M16" t="s">
        <v>28</v>
      </c>
      <c r="N16" t="s">
        <v>123</v>
      </c>
      <c r="O16" t="s">
        <v>124</v>
      </c>
      <c r="P16" t="s">
        <v>125</v>
      </c>
      <c r="R16" t="s">
        <v>126</v>
      </c>
      <c r="T16">
        <v>44000</v>
      </c>
      <c r="U16" t="s">
        <v>42</v>
      </c>
      <c r="V16" t="s">
        <v>43</v>
      </c>
      <c r="W16" t="s">
        <v>127</v>
      </c>
      <c r="X16" t="s">
        <v>128</v>
      </c>
      <c r="Y16" t="s">
        <v>52</v>
      </c>
    </row>
    <row r="17" spans="1:25" x14ac:dyDescent="0.3">
      <c r="A17">
        <v>10285</v>
      </c>
      <c r="B17">
        <v>36</v>
      </c>
      <c r="C17">
        <v>100</v>
      </c>
      <c r="D17">
        <v>6</v>
      </c>
      <c r="E17">
        <v>4099.68</v>
      </c>
      <c r="F17" t="s">
        <v>129</v>
      </c>
      <c r="G17" t="s">
        <v>26</v>
      </c>
      <c r="H17">
        <v>3</v>
      </c>
      <c r="I17">
        <v>8</v>
      </c>
      <c r="J17">
        <v>2004</v>
      </c>
      <c r="K17" t="s">
        <v>27</v>
      </c>
      <c r="L17">
        <v>95</v>
      </c>
      <c r="M17" t="s">
        <v>28</v>
      </c>
      <c r="N17" t="s">
        <v>130</v>
      </c>
      <c r="O17">
        <v>6175558555</v>
      </c>
      <c r="P17" t="s">
        <v>131</v>
      </c>
      <c r="R17" t="s">
        <v>132</v>
      </c>
      <c r="S17" t="s">
        <v>133</v>
      </c>
      <c r="T17">
        <v>51247</v>
      </c>
      <c r="U17" t="s">
        <v>33</v>
      </c>
      <c r="V17" t="s">
        <v>34</v>
      </c>
      <c r="W17" t="s">
        <v>134</v>
      </c>
      <c r="X17" t="s">
        <v>135</v>
      </c>
      <c r="Y17" t="s">
        <v>52</v>
      </c>
    </row>
    <row r="18" spans="1:25" x14ac:dyDescent="0.3">
      <c r="A18">
        <v>10299</v>
      </c>
      <c r="B18">
        <v>23</v>
      </c>
      <c r="C18">
        <v>100</v>
      </c>
      <c r="D18">
        <v>9</v>
      </c>
      <c r="E18">
        <v>2597.39</v>
      </c>
      <c r="F18" t="s">
        <v>136</v>
      </c>
      <c r="G18" t="s">
        <v>26</v>
      </c>
      <c r="H18">
        <v>3</v>
      </c>
      <c r="I18">
        <v>9</v>
      </c>
      <c r="J18">
        <v>2004</v>
      </c>
      <c r="K18" t="s">
        <v>27</v>
      </c>
      <c r="L18">
        <v>95</v>
      </c>
      <c r="M18" t="s">
        <v>28</v>
      </c>
      <c r="N18" t="s">
        <v>137</v>
      </c>
      <c r="O18" t="s">
        <v>138</v>
      </c>
      <c r="P18" t="s">
        <v>139</v>
      </c>
      <c r="R18" t="s">
        <v>140</v>
      </c>
      <c r="T18">
        <v>21240</v>
      </c>
      <c r="U18" t="s">
        <v>141</v>
      </c>
      <c r="V18" t="s">
        <v>43</v>
      </c>
      <c r="W18" t="s">
        <v>142</v>
      </c>
      <c r="X18" t="s">
        <v>143</v>
      </c>
      <c r="Y18" t="s">
        <v>37</v>
      </c>
    </row>
    <row r="19" spans="1:25" x14ac:dyDescent="0.3">
      <c r="A19">
        <v>10309</v>
      </c>
      <c r="B19">
        <v>41</v>
      </c>
      <c r="C19">
        <v>100</v>
      </c>
      <c r="D19">
        <v>5</v>
      </c>
      <c r="E19">
        <v>4394.38</v>
      </c>
      <c r="F19" t="s">
        <v>144</v>
      </c>
      <c r="G19" t="s">
        <v>26</v>
      </c>
      <c r="H19">
        <v>4</v>
      </c>
      <c r="I19">
        <v>10</v>
      </c>
      <c r="J19">
        <v>2004</v>
      </c>
      <c r="K19" t="s">
        <v>27</v>
      </c>
      <c r="L19">
        <v>95</v>
      </c>
      <c r="M19" t="s">
        <v>28</v>
      </c>
      <c r="N19" t="s">
        <v>145</v>
      </c>
      <c r="O19" t="s">
        <v>146</v>
      </c>
      <c r="P19" t="s">
        <v>147</v>
      </c>
      <c r="R19" t="s">
        <v>148</v>
      </c>
      <c r="T19">
        <v>4110</v>
      </c>
      <c r="U19" t="s">
        <v>82</v>
      </c>
      <c r="V19" t="s">
        <v>43</v>
      </c>
      <c r="W19" t="s">
        <v>149</v>
      </c>
      <c r="X19" t="s">
        <v>150</v>
      </c>
      <c r="Y19" t="s">
        <v>52</v>
      </c>
    </row>
    <row r="20" spans="1:25" x14ac:dyDescent="0.3">
      <c r="A20">
        <v>10318</v>
      </c>
      <c r="B20">
        <v>46</v>
      </c>
      <c r="C20">
        <v>94.74</v>
      </c>
      <c r="D20">
        <v>1</v>
      </c>
      <c r="E20">
        <v>4358.04</v>
      </c>
      <c r="F20" s="1">
        <v>38028</v>
      </c>
      <c r="G20" t="s">
        <v>26</v>
      </c>
      <c r="H20">
        <v>4</v>
      </c>
      <c r="I20">
        <v>11</v>
      </c>
      <c r="J20">
        <v>2004</v>
      </c>
      <c r="K20" t="s">
        <v>27</v>
      </c>
      <c r="L20">
        <v>95</v>
      </c>
      <c r="M20" t="s">
        <v>28</v>
      </c>
      <c r="N20" t="s">
        <v>151</v>
      </c>
      <c r="O20">
        <v>2155551555</v>
      </c>
      <c r="P20" t="s">
        <v>152</v>
      </c>
      <c r="R20" t="s">
        <v>153</v>
      </c>
      <c r="S20" t="s">
        <v>154</v>
      </c>
      <c r="T20">
        <v>70267</v>
      </c>
      <c r="U20" t="s">
        <v>33</v>
      </c>
      <c r="V20" t="s">
        <v>34</v>
      </c>
      <c r="W20" t="s">
        <v>35</v>
      </c>
      <c r="X20" t="s">
        <v>155</v>
      </c>
      <c r="Y20" t="s">
        <v>52</v>
      </c>
    </row>
    <row r="21" spans="1:25" x14ac:dyDescent="0.3">
      <c r="A21">
        <v>10329</v>
      </c>
      <c r="B21">
        <v>42</v>
      </c>
      <c r="C21">
        <v>100</v>
      </c>
      <c r="D21">
        <v>1</v>
      </c>
      <c r="E21">
        <v>4396.1400000000003</v>
      </c>
      <c r="F21" t="s">
        <v>156</v>
      </c>
      <c r="G21" t="s">
        <v>26</v>
      </c>
      <c r="H21">
        <v>4</v>
      </c>
      <c r="I21">
        <v>11</v>
      </c>
      <c r="J21">
        <v>2004</v>
      </c>
      <c r="K21" t="s">
        <v>27</v>
      </c>
      <c r="L21">
        <v>95</v>
      </c>
      <c r="M21" t="s">
        <v>28</v>
      </c>
      <c r="N21" t="s">
        <v>29</v>
      </c>
      <c r="O21">
        <v>2125557818</v>
      </c>
      <c r="P21" t="s">
        <v>30</v>
      </c>
      <c r="R21" t="s">
        <v>31</v>
      </c>
      <c r="S21" t="s">
        <v>32</v>
      </c>
      <c r="T21">
        <v>10022</v>
      </c>
      <c r="U21" t="s">
        <v>33</v>
      </c>
      <c r="V21" t="s">
        <v>34</v>
      </c>
      <c r="W21" t="s">
        <v>35</v>
      </c>
      <c r="X21" t="s">
        <v>36</v>
      </c>
      <c r="Y21" t="s">
        <v>52</v>
      </c>
    </row>
    <row r="22" spans="1:25" x14ac:dyDescent="0.3">
      <c r="A22">
        <v>10341</v>
      </c>
      <c r="B22">
        <v>41</v>
      </c>
      <c r="C22">
        <v>100</v>
      </c>
      <c r="D22">
        <v>9</v>
      </c>
      <c r="E22">
        <v>7737.93</v>
      </c>
      <c r="F22" t="s">
        <v>157</v>
      </c>
      <c r="G22" t="s">
        <v>26</v>
      </c>
      <c r="H22">
        <v>4</v>
      </c>
      <c r="I22">
        <v>11</v>
      </c>
      <c r="J22">
        <v>2004</v>
      </c>
      <c r="K22" t="s">
        <v>27</v>
      </c>
      <c r="L22">
        <v>95</v>
      </c>
      <c r="M22" t="s">
        <v>28</v>
      </c>
      <c r="N22" t="s">
        <v>158</v>
      </c>
      <c r="O22" t="s">
        <v>159</v>
      </c>
      <c r="P22" t="s">
        <v>160</v>
      </c>
      <c r="R22" t="s">
        <v>161</v>
      </c>
      <c r="T22">
        <v>5020</v>
      </c>
      <c r="U22" t="s">
        <v>162</v>
      </c>
      <c r="V22" t="s">
        <v>43</v>
      </c>
      <c r="W22" t="s">
        <v>163</v>
      </c>
      <c r="X22" t="s">
        <v>164</v>
      </c>
      <c r="Y22" t="s">
        <v>165</v>
      </c>
    </row>
    <row r="23" spans="1:25" x14ac:dyDescent="0.3">
      <c r="A23">
        <v>10361</v>
      </c>
      <c r="B23">
        <v>20</v>
      </c>
      <c r="C23">
        <v>72.55</v>
      </c>
      <c r="D23">
        <v>13</v>
      </c>
      <c r="E23">
        <v>1451</v>
      </c>
      <c r="F23" t="s">
        <v>166</v>
      </c>
      <c r="G23" t="s">
        <v>26</v>
      </c>
      <c r="H23">
        <v>4</v>
      </c>
      <c r="I23">
        <v>12</v>
      </c>
      <c r="J23">
        <v>2004</v>
      </c>
      <c r="K23" t="s">
        <v>27</v>
      </c>
      <c r="L23">
        <v>95</v>
      </c>
      <c r="M23" t="s">
        <v>28</v>
      </c>
      <c r="N23" t="s">
        <v>167</v>
      </c>
      <c r="O23" t="s">
        <v>168</v>
      </c>
      <c r="P23" t="s">
        <v>169</v>
      </c>
      <c r="Q23" t="s">
        <v>170</v>
      </c>
      <c r="R23" t="s">
        <v>171</v>
      </c>
      <c r="S23" t="s">
        <v>172</v>
      </c>
      <c r="T23">
        <v>2067</v>
      </c>
      <c r="U23" t="s">
        <v>101</v>
      </c>
      <c r="V23" t="s">
        <v>102</v>
      </c>
      <c r="W23" t="s">
        <v>173</v>
      </c>
      <c r="X23" t="s">
        <v>174</v>
      </c>
      <c r="Y23" t="s">
        <v>37</v>
      </c>
    </row>
    <row r="24" spans="1:25" x14ac:dyDescent="0.3">
      <c r="A24">
        <v>10375</v>
      </c>
      <c r="B24">
        <v>21</v>
      </c>
      <c r="C24">
        <v>34.909999999999997</v>
      </c>
      <c r="D24">
        <v>12</v>
      </c>
      <c r="E24">
        <v>733.11</v>
      </c>
      <c r="F24" s="1">
        <v>38413</v>
      </c>
      <c r="G24" t="s">
        <v>26</v>
      </c>
      <c r="H24">
        <v>1</v>
      </c>
      <c r="I24">
        <v>2</v>
      </c>
      <c r="J24">
        <v>2005</v>
      </c>
      <c r="K24" t="s">
        <v>27</v>
      </c>
      <c r="L24">
        <v>95</v>
      </c>
      <c r="M24" t="s">
        <v>28</v>
      </c>
      <c r="N24" t="s">
        <v>123</v>
      </c>
      <c r="O24" t="s">
        <v>124</v>
      </c>
      <c r="P24" t="s">
        <v>125</v>
      </c>
      <c r="R24" t="s">
        <v>126</v>
      </c>
      <c r="T24">
        <v>44000</v>
      </c>
      <c r="U24" t="s">
        <v>42</v>
      </c>
      <c r="V24" t="s">
        <v>43</v>
      </c>
      <c r="W24" t="s">
        <v>127</v>
      </c>
      <c r="X24" t="s">
        <v>128</v>
      </c>
      <c r="Y24" t="s">
        <v>37</v>
      </c>
    </row>
    <row r="25" spans="1:25" x14ac:dyDescent="0.3">
      <c r="A25">
        <v>10388</v>
      </c>
      <c r="B25">
        <v>42</v>
      </c>
      <c r="C25">
        <v>76.36</v>
      </c>
      <c r="D25">
        <v>4</v>
      </c>
      <c r="E25">
        <v>3207.12</v>
      </c>
      <c r="F25" s="1">
        <v>38414</v>
      </c>
      <c r="G25" t="s">
        <v>26</v>
      </c>
      <c r="H25">
        <v>1</v>
      </c>
      <c r="I25">
        <v>3</v>
      </c>
      <c r="J25">
        <v>2005</v>
      </c>
      <c r="K25" t="s">
        <v>27</v>
      </c>
      <c r="L25">
        <v>95</v>
      </c>
      <c r="M25" t="s">
        <v>28</v>
      </c>
      <c r="N25" t="s">
        <v>175</v>
      </c>
      <c r="O25">
        <v>5085552555</v>
      </c>
      <c r="P25" t="s">
        <v>176</v>
      </c>
      <c r="R25" t="s">
        <v>177</v>
      </c>
      <c r="S25" t="s">
        <v>133</v>
      </c>
      <c r="T25">
        <v>50553</v>
      </c>
      <c r="U25" t="s">
        <v>33</v>
      </c>
      <c r="V25" t="s">
        <v>34</v>
      </c>
      <c r="W25" t="s">
        <v>178</v>
      </c>
      <c r="X25" t="s">
        <v>179</v>
      </c>
      <c r="Y25" t="s">
        <v>52</v>
      </c>
    </row>
    <row r="26" spans="1:25" x14ac:dyDescent="0.3">
      <c r="A26">
        <v>10403</v>
      </c>
      <c r="B26">
        <v>24</v>
      </c>
      <c r="C26">
        <v>100</v>
      </c>
      <c r="D26">
        <v>7</v>
      </c>
      <c r="E26">
        <v>2434.56</v>
      </c>
      <c r="F26" s="1">
        <v>38568</v>
      </c>
      <c r="G26" t="s">
        <v>26</v>
      </c>
      <c r="H26">
        <v>2</v>
      </c>
      <c r="I26">
        <v>4</v>
      </c>
      <c r="J26">
        <v>2005</v>
      </c>
      <c r="K26" t="s">
        <v>27</v>
      </c>
      <c r="L26">
        <v>95</v>
      </c>
      <c r="M26" t="s">
        <v>28</v>
      </c>
      <c r="N26" t="s">
        <v>180</v>
      </c>
      <c r="O26" t="s">
        <v>181</v>
      </c>
      <c r="P26" t="s">
        <v>182</v>
      </c>
      <c r="R26" t="s">
        <v>183</v>
      </c>
      <c r="T26" t="s">
        <v>184</v>
      </c>
      <c r="U26" t="s">
        <v>185</v>
      </c>
      <c r="V26" t="s">
        <v>43</v>
      </c>
      <c r="W26" t="s">
        <v>186</v>
      </c>
      <c r="X26" t="s">
        <v>187</v>
      </c>
      <c r="Y26" t="s">
        <v>37</v>
      </c>
    </row>
    <row r="27" spans="1:25" x14ac:dyDescent="0.3">
      <c r="A27">
        <v>10417</v>
      </c>
      <c r="B27">
        <v>66</v>
      </c>
      <c r="C27">
        <v>100</v>
      </c>
      <c r="D27">
        <v>2</v>
      </c>
      <c r="E27">
        <v>7516.08</v>
      </c>
      <c r="F27" t="s">
        <v>188</v>
      </c>
      <c r="G27" t="s">
        <v>189</v>
      </c>
      <c r="H27">
        <v>2</v>
      </c>
      <c r="I27">
        <v>5</v>
      </c>
      <c r="J27">
        <v>2005</v>
      </c>
      <c r="K27" t="s">
        <v>27</v>
      </c>
      <c r="L27">
        <v>95</v>
      </c>
      <c r="M27" t="s">
        <v>28</v>
      </c>
      <c r="N27" t="s">
        <v>190</v>
      </c>
      <c r="O27" t="s">
        <v>191</v>
      </c>
      <c r="P27" t="s">
        <v>192</v>
      </c>
      <c r="R27" t="s">
        <v>193</v>
      </c>
      <c r="T27">
        <v>28034</v>
      </c>
      <c r="U27" t="s">
        <v>194</v>
      </c>
      <c r="V27" t="s">
        <v>43</v>
      </c>
      <c r="W27" t="s">
        <v>195</v>
      </c>
      <c r="X27" t="s">
        <v>196</v>
      </c>
      <c r="Y27" t="s">
        <v>165</v>
      </c>
    </row>
    <row r="28" spans="1:25" x14ac:dyDescent="0.3">
      <c r="A28">
        <v>10103</v>
      </c>
      <c r="B28">
        <v>26</v>
      </c>
      <c r="C28">
        <v>100</v>
      </c>
      <c r="D28">
        <v>11</v>
      </c>
      <c r="E28">
        <v>5404.62</v>
      </c>
      <c r="F28" t="s">
        <v>197</v>
      </c>
      <c r="G28" t="s">
        <v>26</v>
      </c>
      <c r="H28">
        <v>1</v>
      </c>
      <c r="I28">
        <v>1</v>
      </c>
      <c r="J28">
        <v>2003</v>
      </c>
      <c r="K28" t="s">
        <v>198</v>
      </c>
      <c r="L28">
        <v>214</v>
      </c>
      <c r="M28" t="s">
        <v>199</v>
      </c>
      <c r="N28" t="s">
        <v>145</v>
      </c>
      <c r="O28" t="s">
        <v>146</v>
      </c>
      <c r="P28" t="s">
        <v>147</v>
      </c>
      <c r="R28" t="s">
        <v>148</v>
      </c>
      <c r="T28">
        <v>4110</v>
      </c>
      <c r="U28" t="s">
        <v>82</v>
      </c>
      <c r="V28" t="s">
        <v>43</v>
      </c>
      <c r="W28" t="s">
        <v>149</v>
      </c>
      <c r="X28" t="s">
        <v>150</v>
      </c>
      <c r="Y28" t="s">
        <v>52</v>
      </c>
    </row>
    <row r="29" spans="1:25" x14ac:dyDescent="0.3">
      <c r="A29">
        <v>10112</v>
      </c>
      <c r="B29">
        <v>29</v>
      </c>
      <c r="C29">
        <v>100</v>
      </c>
      <c r="D29">
        <v>1</v>
      </c>
      <c r="E29">
        <v>7209.11</v>
      </c>
      <c r="F29" t="s">
        <v>200</v>
      </c>
      <c r="G29" t="s">
        <v>26</v>
      </c>
      <c r="H29">
        <v>1</v>
      </c>
      <c r="I29">
        <v>3</v>
      </c>
      <c r="J29">
        <v>2003</v>
      </c>
      <c r="K29" t="s">
        <v>198</v>
      </c>
      <c r="L29">
        <v>214</v>
      </c>
      <c r="M29" t="s">
        <v>199</v>
      </c>
      <c r="N29" t="s">
        <v>201</v>
      </c>
      <c r="O29" t="s">
        <v>202</v>
      </c>
      <c r="P29" t="s">
        <v>203</v>
      </c>
      <c r="R29" t="s">
        <v>204</v>
      </c>
      <c r="T29" t="s">
        <v>205</v>
      </c>
      <c r="U29" t="s">
        <v>206</v>
      </c>
      <c r="V29" t="s">
        <v>43</v>
      </c>
      <c r="W29" t="s">
        <v>207</v>
      </c>
      <c r="X29" t="s">
        <v>208</v>
      </c>
      <c r="Y29" t="s">
        <v>165</v>
      </c>
    </row>
    <row r="30" spans="1:25" x14ac:dyDescent="0.3">
      <c r="A30">
        <v>10126</v>
      </c>
      <c r="B30">
        <v>38</v>
      </c>
      <c r="C30">
        <v>100</v>
      </c>
      <c r="D30">
        <v>11</v>
      </c>
      <c r="E30">
        <v>7329.06</v>
      </c>
      <c r="F30" t="s">
        <v>209</v>
      </c>
      <c r="G30" t="s">
        <v>26</v>
      </c>
      <c r="H30">
        <v>2</v>
      </c>
      <c r="I30">
        <v>5</v>
      </c>
      <c r="J30">
        <v>2003</v>
      </c>
      <c r="K30" t="s">
        <v>198</v>
      </c>
      <c r="L30">
        <v>214</v>
      </c>
      <c r="M30" t="s">
        <v>199</v>
      </c>
      <c r="N30" t="s">
        <v>210</v>
      </c>
      <c r="O30" t="s">
        <v>211</v>
      </c>
      <c r="P30" t="s">
        <v>212</v>
      </c>
      <c r="R30" t="s">
        <v>193</v>
      </c>
      <c r="T30">
        <v>28023</v>
      </c>
      <c r="U30" t="s">
        <v>194</v>
      </c>
      <c r="V30" t="s">
        <v>43</v>
      </c>
      <c r="W30" t="s">
        <v>213</v>
      </c>
      <c r="X30" t="s">
        <v>214</v>
      </c>
      <c r="Y30" t="s">
        <v>165</v>
      </c>
    </row>
    <row r="31" spans="1:25" x14ac:dyDescent="0.3">
      <c r="A31">
        <v>10140</v>
      </c>
      <c r="B31">
        <v>37</v>
      </c>
      <c r="C31">
        <v>100</v>
      </c>
      <c r="D31">
        <v>11</v>
      </c>
      <c r="E31">
        <v>7374.1</v>
      </c>
      <c r="F31" t="s">
        <v>215</v>
      </c>
      <c r="G31" t="s">
        <v>26</v>
      </c>
      <c r="H31">
        <v>3</v>
      </c>
      <c r="I31">
        <v>7</v>
      </c>
      <c r="J31">
        <v>2003</v>
      </c>
      <c r="K31" t="s">
        <v>198</v>
      </c>
      <c r="L31">
        <v>214</v>
      </c>
      <c r="M31" t="s">
        <v>199</v>
      </c>
      <c r="N31" t="s">
        <v>65</v>
      </c>
      <c r="O31">
        <v>6505556809</v>
      </c>
      <c r="P31" t="s">
        <v>66</v>
      </c>
      <c r="R31" t="s">
        <v>67</v>
      </c>
      <c r="S31" t="s">
        <v>57</v>
      </c>
      <c r="T31">
        <v>94217</v>
      </c>
      <c r="U31" t="s">
        <v>33</v>
      </c>
      <c r="V31" t="s">
        <v>34</v>
      </c>
      <c r="W31" t="s">
        <v>68</v>
      </c>
      <c r="X31" t="s">
        <v>69</v>
      </c>
      <c r="Y31" t="s">
        <v>165</v>
      </c>
    </row>
    <row r="32" spans="1:25" x14ac:dyDescent="0.3">
      <c r="A32">
        <v>10150</v>
      </c>
      <c r="B32">
        <v>45</v>
      </c>
      <c r="C32">
        <v>100</v>
      </c>
      <c r="D32">
        <v>8</v>
      </c>
      <c r="E32">
        <v>10993.5</v>
      </c>
      <c r="F32" t="s">
        <v>216</v>
      </c>
      <c r="G32" t="s">
        <v>26</v>
      </c>
      <c r="H32">
        <v>3</v>
      </c>
      <c r="I32">
        <v>9</v>
      </c>
      <c r="J32">
        <v>2003</v>
      </c>
      <c r="K32" t="s">
        <v>198</v>
      </c>
      <c r="L32">
        <v>214</v>
      </c>
      <c r="M32" t="s">
        <v>199</v>
      </c>
      <c r="N32" t="s">
        <v>217</v>
      </c>
      <c r="O32" t="s">
        <v>218</v>
      </c>
      <c r="P32" t="s">
        <v>219</v>
      </c>
      <c r="R32" t="s">
        <v>220</v>
      </c>
      <c r="T32">
        <v>79903</v>
      </c>
      <c r="U32" t="s">
        <v>220</v>
      </c>
      <c r="V32" t="s">
        <v>221</v>
      </c>
      <c r="W32" t="s">
        <v>222</v>
      </c>
      <c r="X32" t="s">
        <v>223</v>
      </c>
      <c r="Y32" t="s">
        <v>165</v>
      </c>
    </row>
    <row r="33" spans="1:25" x14ac:dyDescent="0.3">
      <c r="A33">
        <v>10163</v>
      </c>
      <c r="B33">
        <v>21</v>
      </c>
      <c r="C33">
        <v>100</v>
      </c>
      <c r="D33">
        <v>1</v>
      </c>
      <c r="E33">
        <v>4860.24</v>
      </c>
      <c r="F33" t="s">
        <v>224</v>
      </c>
      <c r="G33" t="s">
        <v>26</v>
      </c>
      <c r="H33">
        <v>4</v>
      </c>
      <c r="I33">
        <v>10</v>
      </c>
      <c r="J33">
        <v>2003</v>
      </c>
      <c r="K33" t="s">
        <v>198</v>
      </c>
      <c r="L33">
        <v>214</v>
      </c>
      <c r="M33" t="s">
        <v>199</v>
      </c>
      <c r="N33" t="s">
        <v>225</v>
      </c>
      <c r="O33">
        <v>2125558493</v>
      </c>
      <c r="P33" t="s">
        <v>226</v>
      </c>
      <c r="Q33" t="s">
        <v>227</v>
      </c>
      <c r="R33" t="s">
        <v>31</v>
      </c>
      <c r="S33" t="s">
        <v>32</v>
      </c>
      <c r="T33">
        <v>10022</v>
      </c>
      <c r="U33" t="s">
        <v>33</v>
      </c>
      <c r="V33" t="s">
        <v>34</v>
      </c>
      <c r="W33" t="s">
        <v>134</v>
      </c>
      <c r="X33" t="s">
        <v>228</v>
      </c>
      <c r="Y33" t="s">
        <v>52</v>
      </c>
    </row>
    <row r="34" spans="1:25" x14ac:dyDescent="0.3">
      <c r="A34">
        <v>10174</v>
      </c>
      <c r="B34">
        <v>34</v>
      </c>
      <c r="C34">
        <v>100</v>
      </c>
      <c r="D34">
        <v>4</v>
      </c>
      <c r="E34">
        <v>8014.82</v>
      </c>
      <c r="F34" s="1">
        <v>37783</v>
      </c>
      <c r="G34" t="s">
        <v>26</v>
      </c>
      <c r="H34">
        <v>4</v>
      </c>
      <c r="I34">
        <v>11</v>
      </c>
      <c r="J34">
        <v>2003</v>
      </c>
      <c r="K34" t="s">
        <v>198</v>
      </c>
      <c r="L34">
        <v>214</v>
      </c>
      <c r="M34" t="s">
        <v>199</v>
      </c>
      <c r="N34" t="s">
        <v>229</v>
      </c>
      <c r="O34" t="s">
        <v>230</v>
      </c>
      <c r="P34" t="s">
        <v>231</v>
      </c>
      <c r="R34" t="s">
        <v>232</v>
      </c>
      <c r="S34" t="s">
        <v>233</v>
      </c>
      <c r="T34">
        <v>4101</v>
      </c>
      <c r="U34" t="s">
        <v>101</v>
      </c>
      <c r="V34" t="s">
        <v>102</v>
      </c>
      <c r="W34" t="s">
        <v>234</v>
      </c>
      <c r="X34" t="s">
        <v>235</v>
      </c>
      <c r="Y34" t="s">
        <v>165</v>
      </c>
    </row>
    <row r="35" spans="1:25" x14ac:dyDescent="0.3">
      <c r="A35">
        <v>10183</v>
      </c>
      <c r="B35">
        <v>23</v>
      </c>
      <c r="C35">
        <v>100</v>
      </c>
      <c r="D35">
        <v>8</v>
      </c>
      <c r="E35">
        <v>5372.57</v>
      </c>
      <c r="F35" t="s">
        <v>236</v>
      </c>
      <c r="G35" t="s">
        <v>26</v>
      </c>
      <c r="H35">
        <v>4</v>
      </c>
      <c r="I35">
        <v>11</v>
      </c>
      <c r="J35">
        <v>2003</v>
      </c>
      <c r="K35" t="s">
        <v>198</v>
      </c>
      <c r="L35">
        <v>214</v>
      </c>
      <c r="M35" t="s">
        <v>199</v>
      </c>
      <c r="N35" t="s">
        <v>237</v>
      </c>
      <c r="O35">
        <v>2155554695</v>
      </c>
      <c r="P35" t="s">
        <v>238</v>
      </c>
      <c r="R35" t="s">
        <v>239</v>
      </c>
      <c r="S35" t="s">
        <v>154</v>
      </c>
      <c r="T35">
        <v>71270</v>
      </c>
      <c r="U35" t="s">
        <v>33</v>
      </c>
      <c r="V35" t="s">
        <v>34</v>
      </c>
      <c r="W35" t="s">
        <v>240</v>
      </c>
      <c r="X35" t="s">
        <v>241</v>
      </c>
      <c r="Y35" t="s">
        <v>52</v>
      </c>
    </row>
    <row r="36" spans="1:25" x14ac:dyDescent="0.3">
      <c r="A36">
        <v>10194</v>
      </c>
      <c r="B36">
        <v>42</v>
      </c>
      <c r="C36">
        <v>100</v>
      </c>
      <c r="D36">
        <v>11</v>
      </c>
      <c r="E36">
        <v>7290.36</v>
      </c>
      <c r="F36" t="s">
        <v>242</v>
      </c>
      <c r="G36" t="s">
        <v>26</v>
      </c>
      <c r="H36">
        <v>4</v>
      </c>
      <c r="I36">
        <v>11</v>
      </c>
      <c r="J36">
        <v>2003</v>
      </c>
      <c r="K36" t="s">
        <v>198</v>
      </c>
      <c r="L36">
        <v>214</v>
      </c>
      <c r="M36" t="s">
        <v>199</v>
      </c>
      <c r="N36" t="s">
        <v>243</v>
      </c>
      <c r="O36" t="s">
        <v>244</v>
      </c>
      <c r="P36" t="s">
        <v>245</v>
      </c>
      <c r="R36" t="s">
        <v>246</v>
      </c>
      <c r="T36">
        <v>69004</v>
      </c>
      <c r="U36" t="s">
        <v>42</v>
      </c>
      <c r="V36" t="s">
        <v>43</v>
      </c>
      <c r="W36" t="s">
        <v>247</v>
      </c>
      <c r="X36" t="s">
        <v>248</v>
      </c>
      <c r="Y36" t="s">
        <v>165</v>
      </c>
    </row>
    <row r="37" spans="1:25" x14ac:dyDescent="0.3">
      <c r="A37">
        <v>10206</v>
      </c>
      <c r="B37">
        <v>47</v>
      </c>
      <c r="C37">
        <v>100</v>
      </c>
      <c r="D37">
        <v>6</v>
      </c>
      <c r="E37">
        <v>9064.89</v>
      </c>
      <c r="F37" s="1">
        <v>37753</v>
      </c>
      <c r="G37" t="s">
        <v>26</v>
      </c>
      <c r="H37">
        <v>4</v>
      </c>
      <c r="I37">
        <v>12</v>
      </c>
      <c r="J37">
        <v>2003</v>
      </c>
      <c r="K37" t="s">
        <v>198</v>
      </c>
      <c r="L37">
        <v>214</v>
      </c>
      <c r="M37" t="s">
        <v>199</v>
      </c>
      <c r="N37" t="s">
        <v>249</v>
      </c>
      <c r="O37" t="s">
        <v>250</v>
      </c>
      <c r="P37" t="s">
        <v>251</v>
      </c>
      <c r="R37" t="s">
        <v>252</v>
      </c>
      <c r="S37" t="s">
        <v>253</v>
      </c>
      <c r="T37" t="s">
        <v>254</v>
      </c>
      <c r="U37" t="s">
        <v>255</v>
      </c>
      <c r="V37" t="s">
        <v>34</v>
      </c>
      <c r="W37" t="s">
        <v>256</v>
      </c>
      <c r="X37" t="s">
        <v>257</v>
      </c>
      <c r="Y37" t="s">
        <v>165</v>
      </c>
    </row>
    <row r="38" spans="1:25" x14ac:dyDescent="0.3">
      <c r="A38">
        <v>10215</v>
      </c>
      <c r="B38">
        <v>35</v>
      </c>
      <c r="C38">
        <v>100</v>
      </c>
      <c r="D38">
        <v>3</v>
      </c>
      <c r="E38">
        <v>6075.3</v>
      </c>
      <c r="F38" t="s">
        <v>258</v>
      </c>
      <c r="G38" t="s">
        <v>26</v>
      </c>
      <c r="H38">
        <v>1</v>
      </c>
      <c r="I38">
        <v>1</v>
      </c>
      <c r="J38">
        <v>2004</v>
      </c>
      <c r="K38" t="s">
        <v>198</v>
      </c>
      <c r="L38">
        <v>214</v>
      </c>
      <c r="M38" t="s">
        <v>199</v>
      </c>
      <c r="N38" t="s">
        <v>259</v>
      </c>
      <c r="O38">
        <v>3105553722</v>
      </c>
      <c r="P38" t="s">
        <v>260</v>
      </c>
      <c r="R38" t="s">
        <v>261</v>
      </c>
      <c r="S38" t="s">
        <v>57</v>
      </c>
      <c r="T38">
        <v>94019</v>
      </c>
      <c r="U38" t="s">
        <v>33</v>
      </c>
      <c r="V38" t="s">
        <v>34</v>
      </c>
      <c r="W38" t="s">
        <v>262</v>
      </c>
      <c r="X38" t="s">
        <v>263</v>
      </c>
      <c r="Y38" t="s">
        <v>52</v>
      </c>
    </row>
    <row r="39" spans="1:25" x14ac:dyDescent="0.3">
      <c r="A39">
        <v>10228</v>
      </c>
      <c r="B39">
        <v>29</v>
      </c>
      <c r="C39">
        <v>100</v>
      </c>
      <c r="D39">
        <v>2</v>
      </c>
      <c r="E39">
        <v>6463.23</v>
      </c>
      <c r="F39" s="1">
        <v>38263</v>
      </c>
      <c r="G39" t="s">
        <v>26</v>
      </c>
      <c r="H39">
        <v>1</v>
      </c>
      <c r="I39">
        <v>3</v>
      </c>
      <c r="J39">
        <v>2004</v>
      </c>
      <c r="K39" t="s">
        <v>198</v>
      </c>
      <c r="L39">
        <v>214</v>
      </c>
      <c r="M39" t="s">
        <v>199</v>
      </c>
      <c r="N39" t="s">
        <v>264</v>
      </c>
      <c r="O39">
        <v>6175555555</v>
      </c>
      <c r="P39" t="s">
        <v>265</v>
      </c>
      <c r="R39" t="s">
        <v>132</v>
      </c>
      <c r="S39" t="s">
        <v>133</v>
      </c>
      <c r="T39">
        <v>51247</v>
      </c>
      <c r="U39" t="s">
        <v>33</v>
      </c>
      <c r="V39" t="s">
        <v>34</v>
      </c>
      <c r="W39" t="s">
        <v>266</v>
      </c>
      <c r="X39" t="s">
        <v>155</v>
      </c>
      <c r="Y39" t="s">
        <v>52</v>
      </c>
    </row>
    <row r="40" spans="1:25" x14ac:dyDescent="0.3">
      <c r="A40">
        <v>10245</v>
      </c>
      <c r="B40">
        <v>34</v>
      </c>
      <c r="C40">
        <v>100</v>
      </c>
      <c r="D40">
        <v>9</v>
      </c>
      <c r="E40">
        <v>6120.34</v>
      </c>
      <c r="F40" s="1">
        <v>38082</v>
      </c>
      <c r="G40" t="s">
        <v>26</v>
      </c>
      <c r="H40">
        <v>2</v>
      </c>
      <c r="I40">
        <v>5</v>
      </c>
      <c r="J40">
        <v>2004</v>
      </c>
      <c r="K40" t="s">
        <v>198</v>
      </c>
      <c r="L40">
        <v>214</v>
      </c>
      <c r="M40" t="s">
        <v>199</v>
      </c>
      <c r="N40" t="s">
        <v>267</v>
      </c>
      <c r="O40">
        <v>2035559545</v>
      </c>
      <c r="P40" t="s">
        <v>268</v>
      </c>
      <c r="R40" t="s">
        <v>269</v>
      </c>
      <c r="S40" t="s">
        <v>120</v>
      </c>
      <c r="T40">
        <v>97823</v>
      </c>
      <c r="U40" t="s">
        <v>33</v>
      </c>
      <c r="V40" t="s">
        <v>34</v>
      </c>
      <c r="W40" t="s">
        <v>87</v>
      </c>
      <c r="X40" t="s">
        <v>270</v>
      </c>
      <c r="Y40" t="s">
        <v>52</v>
      </c>
    </row>
    <row r="41" spans="1:25" x14ac:dyDescent="0.3">
      <c r="A41">
        <v>10258</v>
      </c>
      <c r="B41">
        <v>32</v>
      </c>
      <c r="C41">
        <v>100</v>
      </c>
      <c r="D41">
        <v>6</v>
      </c>
      <c r="E41">
        <v>7680.64</v>
      </c>
      <c r="F41" t="s">
        <v>271</v>
      </c>
      <c r="G41" t="s">
        <v>26</v>
      </c>
      <c r="H41">
        <v>2</v>
      </c>
      <c r="I41">
        <v>6</v>
      </c>
      <c r="J41">
        <v>2004</v>
      </c>
      <c r="K41" t="s">
        <v>198</v>
      </c>
      <c r="L41">
        <v>214</v>
      </c>
      <c r="M41" t="s">
        <v>199</v>
      </c>
      <c r="N41" t="s">
        <v>272</v>
      </c>
      <c r="O41" t="s">
        <v>273</v>
      </c>
      <c r="P41" t="s">
        <v>274</v>
      </c>
      <c r="R41" t="s">
        <v>275</v>
      </c>
      <c r="S41" t="s">
        <v>276</v>
      </c>
      <c r="T41" t="s">
        <v>277</v>
      </c>
      <c r="U41" t="s">
        <v>221</v>
      </c>
      <c r="V41" t="s">
        <v>221</v>
      </c>
      <c r="W41" t="s">
        <v>278</v>
      </c>
      <c r="X41" t="s">
        <v>279</v>
      </c>
      <c r="Y41" t="s">
        <v>165</v>
      </c>
    </row>
    <row r="42" spans="1:25" x14ac:dyDescent="0.3">
      <c r="A42">
        <v>10270</v>
      </c>
      <c r="B42">
        <v>21</v>
      </c>
      <c r="C42">
        <v>100</v>
      </c>
      <c r="D42">
        <v>9</v>
      </c>
      <c r="E42">
        <v>4905.3900000000003</v>
      </c>
      <c r="F42" t="s">
        <v>280</v>
      </c>
      <c r="G42" t="s">
        <v>26</v>
      </c>
      <c r="H42">
        <v>3</v>
      </c>
      <c r="I42">
        <v>7</v>
      </c>
      <c r="J42">
        <v>2004</v>
      </c>
      <c r="K42" t="s">
        <v>198</v>
      </c>
      <c r="L42">
        <v>214</v>
      </c>
      <c r="M42" t="s">
        <v>199</v>
      </c>
      <c r="N42" t="s">
        <v>167</v>
      </c>
      <c r="O42" t="s">
        <v>168</v>
      </c>
      <c r="P42" t="s">
        <v>169</v>
      </c>
      <c r="Q42" t="s">
        <v>170</v>
      </c>
      <c r="R42" t="s">
        <v>171</v>
      </c>
      <c r="S42" t="s">
        <v>172</v>
      </c>
      <c r="T42">
        <v>2067</v>
      </c>
      <c r="U42" t="s">
        <v>101</v>
      </c>
      <c r="V42" t="s">
        <v>102</v>
      </c>
      <c r="W42" t="s">
        <v>173</v>
      </c>
      <c r="X42" t="s">
        <v>174</v>
      </c>
      <c r="Y42" t="s">
        <v>52</v>
      </c>
    </row>
    <row r="43" spans="1:25" x14ac:dyDescent="0.3">
      <c r="A43">
        <v>10280</v>
      </c>
      <c r="B43">
        <v>34</v>
      </c>
      <c r="C43">
        <v>100</v>
      </c>
      <c r="D43">
        <v>2</v>
      </c>
      <c r="E43">
        <v>8014.82</v>
      </c>
      <c r="F43" t="s">
        <v>281</v>
      </c>
      <c r="G43" t="s">
        <v>26</v>
      </c>
      <c r="H43">
        <v>3</v>
      </c>
      <c r="I43">
        <v>8</v>
      </c>
      <c r="J43">
        <v>2004</v>
      </c>
      <c r="K43" t="s">
        <v>198</v>
      </c>
      <c r="L43">
        <v>214</v>
      </c>
      <c r="M43" t="s">
        <v>199</v>
      </c>
      <c r="N43" t="s">
        <v>282</v>
      </c>
      <c r="O43" t="s">
        <v>283</v>
      </c>
      <c r="P43" t="s">
        <v>284</v>
      </c>
      <c r="R43" t="s">
        <v>285</v>
      </c>
      <c r="T43">
        <v>10100</v>
      </c>
      <c r="U43" t="s">
        <v>286</v>
      </c>
      <c r="V43" t="s">
        <v>43</v>
      </c>
      <c r="W43" t="s">
        <v>287</v>
      </c>
      <c r="X43" t="s">
        <v>288</v>
      </c>
      <c r="Y43" t="s">
        <v>165</v>
      </c>
    </row>
    <row r="44" spans="1:25" x14ac:dyDescent="0.3">
      <c r="A44">
        <v>10291</v>
      </c>
      <c r="B44">
        <v>37</v>
      </c>
      <c r="C44">
        <v>100</v>
      </c>
      <c r="D44">
        <v>11</v>
      </c>
      <c r="E44">
        <v>7136.19</v>
      </c>
      <c r="F44" s="1">
        <v>38208</v>
      </c>
      <c r="G44" t="s">
        <v>26</v>
      </c>
      <c r="H44">
        <v>3</v>
      </c>
      <c r="I44">
        <v>9</v>
      </c>
      <c r="J44">
        <v>2004</v>
      </c>
      <c r="K44" t="s">
        <v>198</v>
      </c>
      <c r="L44">
        <v>214</v>
      </c>
      <c r="M44" t="s">
        <v>199</v>
      </c>
      <c r="N44" t="s">
        <v>289</v>
      </c>
      <c r="O44" t="s">
        <v>290</v>
      </c>
      <c r="P44" t="s">
        <v>291</v>
      </c>
      <c r="R44" t="s">
        <v>292</v>
      </c>
      <c r="T44" t="s">
        <v>293</v>
      </c>
      <c r="U44" t="s">
        <v>206</v>
      </c>
      <c r="V44" t="s">
        <v>43</v>
      </c>
      <c r="W44" t="s">
        <v>294</v>
      </c>
      <c r="X44" t="s">
        <v>228</v>
      </c>
      <c r="Y44" t="s">
        <v>165</v>
      </c>
    </row>
    <row r="45" spans="1:25" x14ac:dyDescent="0.3">
      <c r="A45">
        <v>10304</v>
      </c>
      <c r="B45">
        <v>47</v>
      </c>
      <c r="C45">
        <v>100</v>
      </c>
      <c r="D45">
        <v>6</v>
      </c>
      <c r="E45">
        <v>10172.700000000001</v>
      </c>
      <c r="F45" s="1">
        <v>38301</v>
      </c>
      <c r="G45" t="s">
        <v>26</v>
      </c>
      <c r="H45">
        <v>4</v>
      </c>
      <c r="I45">
        <v>10</v>
      </c>
      <c r="J45">
        <v>2004</v>
      </c>
      <c r="K45" t="s">
        <v>198</v>
      </c>
      <c r="L45">
        <v>214</v>
      </c>
      <c r="M45" t="s">
        <v>199</v>
      </c>
      <c r="N45" t="s">
        <v>295</v>
      </c>
      <c r="O45" t="s">
        <v>296</v>
      </c>
      <c r="P45" t="s">
        <v>297</v>
      </c>
      <c r="R45" t="s">
        <v>298</v>
      </c>
      <c r="T45">
        <v>78000</v>
      </c>
      <c r="U45" t="s">
        <v>42</v>
      </c>
      <c r="V45" t="s">
        <v>43</v>
      </c>
      <c r="W45" t="s">
        <v>299</v>
      </c>
      <c r="X45" t="s">
        <v>51</v>
      </c>
      <c r="Y45" t="s">
        <v>165</v>
      </c>
    </row>
    <row r="46" spans="1:25" x14ac:dyDescent="0.3">
      <c r="A46">
        <v>10312</v>
      </c>
      <c r="B46">
        <v>48</v>
      </c>
      <c r="C46">
        <v>100</v>
      </c>
      <c r="D46">
        <v>3</v>
      </c>
      <c r="E46">
        <v>11623.7</v>
      </c>
      <c r="F46" t="s">
        <v>300</v>
      </c>
      <c r="G46" t="s">
        <v>26</v>
      </c>
      <c r="H46">
        <v>4</v>
      </c>
      <c r="I46">
        <v>10</v>
      </c>
      <c r="J46">
        <v>2004</v>
      </c>
      <c r="K46" t="s">
        <v>198</v>
      </c>
      <c r="L46">
        <v>214</v>
      </c>
      <c r="M46" t="s">
        <v>199</v>
      </c>
      <c r="N46" t="s">
        <v>301</v>
      </c>
      <c r="O46">
        <v>4155551450</v>
      </c>
      <c r="P46" t="s">
        <v>302</v>
      </c>
      <c r="R46" t="s">
        <v>303</v>
      </c>
      <c r="S46" t="s">
        <v>57</v>
      </c>
      <c r="T46">
        <v>97562</v>
      </c>
      <c r="U46" t="s">
        <v>33</v>
      </c>
      <c r="V46" t="s">
        <v>34</v>
      </c>
      <c r="W46" t="s">
        <v>304</v>
      </c>
      <c r="X46" t="s">
        <v>305</v>
      </c>
      <c r="Y46" t="s">
        <v>165</v>
      </c>
    </row>
    <row r="47" spans="1:25" x14ac:dyDescent="0.3">
      <c r="A47">
        <v>10322</v>
      </c>
      <c r="B47">
        <v>40</v>
      </c>
      <c r="C47">
        <v>100</v>
      </c>
      <c r="D47">
        <v>1</v>
      </c>
      <c r="E47">
        <v>6000.4</v>
      </c>
      <c r="F47" s="1">
        <v>38088</v>
      </c>
      <c r="G47" t="s">
        <v>26</v>
      </c>
      <c r="H47">
        <v>4</v>
      </c>
      <c r="I47">
        <v>11</v>
      </c>
      <c r="J47">
        <v>2004</v>
      </c>
      <c r="K47" t="s">
        <v>198</v>
      </c>
      <c r="L47">
        <v>214</v>
      </c>
      <c r="M47" t="s">
        <v>199</v>
      </c>
      <c r="N47" t="s">
        <v>306</v>
      </c>
      <c r="O47">
        <v>6035558647</v>
      </c>
      <c r="P47" t="s">
        <v>307</v>
      </c>
      <c r="R47" t="s">
        <v>308</v>
      </c>
      <c r="S47" t="s">
        <v>309</v>
      </c>
      <c r="T47">
        <v>62005</v>
      </c>
      <c r="U47" t="s">
        <v>33</v>
      </c>
      <c r="V47" t="s">
        <v>34</v>
      </c>
      <c r="W47" t="s">
        <v>58</v>
      </c>
      <c r="X47" t="s">
        <v>305</v>
      </c>
      <c r="Y47" t="s">
        <v>52</v>
      </c>
    </row>
    <row r="48" spans="1:25" x14ac:dyDescent="0.3">
      <c r="A48">
        <v>10333</v>
      </c>
      <c r="B48">
        <v>26</v>
      </c>
      <c r="C48">
        <v>100</v>
      </c>
      <c r="D48">
        <v>3</v>
      </c>
      <c r="E48">
        <v>3003</v>
      </c>
      <c r="F48" t="s">
        <v>310</v>
      </c>
      <c r="G48" t="s">
        <v>26</v>
      </c>
      <c r="H48">
        <v>4</v>
      </c>
      <c r="I48">
        <v>11</v>
      </c>
      <c r="J48">
        <v>2004</v>
      </c>
      <c r="K48" t="s">
        <v>198</v>
      </c>
      <c r="L48">
        <v>214</v>
      </c>
      <c r="M48" t="s">
        <v>199</v>
      </c>
      <c r="N48" t="s">
        <v>85</v>
      </c>
      <c r="O48">
        <v>6505555787</v>
      </c>
      <c r="P48" t="s">
        <v>86</v>
      </c>
      <c r="R48" t="s">
        <v>62</v>
      </c>
      <c r="S48" t="s">
        <v>57</v>
      </c>
      <c r="U48" t="s">
        <v>33</v>
      </c>
      <c r="V48" t="s">
        <v>34</v>
      </c>
      <c r="W48" t="s">
        <v>87</v>
      </c>
      <c r="X48" t="s">
        <v>59</v>
      </c>
      <c r="Y48" t="s">
        <v>52</v>
      </c>
    </row>
    <row r="49" spans="1:25" x14ac:dyDescent="0.3">
      <c r="A49">
        <v>10347</v>
      </c>
      <c r="B49">
        <v>30</v>
      </c>
      <c r="C49">
        <v>100</v>
      </c>
      <c r="D49">
        <v>1</v>
      </c>
      <c r="E49">
        <v>3944.7</v>
      </c>
      <c r="F49" t="s">
        <v>311</v>
      </c>
      <c r="G49" t="s">
        <v>26</v>
      </c>
      <c r="H49">
        <v>4</v>
      </c>
      <c r="I49">
        <v>11</v>
      </c>
      <c r="J49">
        <v>2004</v>
      </c>
      <c r="K49" t="s">
        <v>198</v>
      </c>
      <c r="L49">
        <v>214</v>
      </c>
      <c r="M49" t="s">
        <v>199</v>
      </c>
      <c r="N49" t="s">
        <v>95</v>
      </c>
      <c r="O49" t="s">
        <v>96</v>
      </c>
      <c r="P49" t="s">
        <v>97</v>
      </c>
      <c r="Q49" t="s">
        <v>98</v>
      </c>
      <c r="R49" t="s">
        <v>99</v>
      </c>
      <c r="S49" t="s">
        <v>100</v>
      </c>
      <c r="T49">
        <v>3004</v>
      </c>
      <c r="U49" t="s">
        <v>101</v>
      </c>
      <c r="V49" t="s">
        <v>102</v>
      </c>
      <c r="W49" t="s">
        <v>103</v>
      </c>
      <c r="X49" t="s">
        <v>104</v>
      </c>
      <c r="Y49" t="s">
        <v>52</v>
      </c>
    </row>
    <row r="50" spans="1:25" x14ac:dyDescent="0.3">
      <c r="A50">
        <v>10357</v>
      </c>
      <c r="B50">
        <v>32</v>
      </c>
      <c r="C50">
        <v>100</v>
      </c>
      <c r="D50">
        <v>10</v>
      </c>
      <c r="E50">
        <v>5691.84</v>
      </c>
      <c r="F50" s="1">
        <v>38272</v>
      </c>
      <c r="G50" t="s">
        <v>26</v>
      </c>
      <c r="H50">
        <v>4</v>
      </c>
      <c r="I50">
        <v>12</v>
      </c>
      <c r="J50">
        <v>2004</v>
      </c>
      <c r="K50" t="s">
        <v>198</v>
      </c>
      <c r="L50">
        <v>214</v>
      </c>
      <c r="M50" t="s">
        <v>199</v>
      </c>
      <c r="N50" t="s">
        <v>301</v>
      </c>
      <c r="O50">
        <v>4155551450</v>
      </c>
      <c r="P50" t="s">
        <v>302</v>
      </c>
      <c r="R50" t="s">
        <v>303</v>
      </c>
      <c r="S50" t="s">
        <v>57</v>
      </c>
      <c r="T50">
        <v>97562</v>
      </c>
      <c r="U50" t="s">
        <v>33</v>
      </c>
      <c r="V50" t="s">
        <v>34</v>
      </c>
      <c r="W50" t="s">
        <v>304</v>
      </c>
      <c r="X50" t="s">
        <v>305</v>
      </c>
      <c r="Y50" t="s">
        <v>52</v>
      </c>
    </row>
    <row r="51" spans="1:25" x14ac:dyDescent="0.3">
      <c r="A51">
        <v>10369</v>
      </c>
      <c r="B51">
        <v>41</v>
      </c>
      <c r="C51">
        <v>100</v>
      </c>
      <c r="D51">
        <v>2</v>
      </c>
      <c r="E51">
        <v>4514.92</v>
      </c>
      <c r="F51" t="s">
        <v>312</v>
      </c>
      <c r="G51" t="s">
        <v>26</v>
      </c>
      <c r="H51">
        <v>1</v>
      </c>
      <c r="I51">
        <v>1</v>
      </c>
      <c r="J51">
        <v>2005</v>
      </c>
      <c r="K51" t="s">
        <v>198</v>
      </c>
      <c r="L51">
        <v>214</v>
      </c>
      <c r="M51" t="s">
        <v>199</v>
      </c>
      <c r="N51" t="s">
        <v>313</v>
      </c>
      <c r="O51">
        <v>6175558555</v>
      </c>
      <c r="P51" t="s">
        <v>314</v>
      </c>
      <c r="R51" t="s">
        <v>315</v>
      </c>
      <c r="S51" t="s">
        <v>133</v>
      </c>
      <c r="T51">
        <v>58339</v>
      </c>
      <c r="U51" t="s">
        <v>33</v>
      </c>
      <c r="V51" t="s">
        <v>34</v>
      </c>
      <c r="W51" t="s">
        <v>304</v>
      </c>
      <c r="X51" t="s">
        <v>316</v>
      </c>
      <c r="Y51" t="s">
        <v>52</v>
      </c>
    </row>
    <row r="52" spans="1:25" x14ac:dyDescent="0.3">
      <c r="A52">
        <v>10381</v>
      </c>
      <c r="B52">
        <v>36</v>
      </c>
      <c r="C52">
        <v>100</v>
      </c>
      <c r="D52">
        <v>3</v>
      </c>
      <c r="E52">
        <v>8254.7999999999993</v>
      </c>
      <c r="F52" t="s">
        <v>317</v>
      </c>
      <c r="G52" t="s">
        <v>26</v>
      </c>
      <c r="H52">
        <v>1</v>
      </c>
      <c r="I52">
        <v>2</v>
      </c>
      <c r="J52">
        <v>2005</v>
      </c>
      <c r="K52" t="s">
        <v>198</v>
      </c>
      <c r="L52">
        <v>214</v>
      </c>
      <c r="M52" t="s">
        <v>199</v>
      </c>
      <c r="N52" t="s">
        <v>60</v>
      </c>
      <c r="O52">
        <v>6505551386</v>
      </c>
      <c r="P52" t="s">
        <v>61</v>
      </c>
      <c r="R52" t="s">
        <v>62</v>
      </c>
      <c r="S52" t="s">
        <v>57</v>
      </c>
      <c r="U52" t="s">
        <v>33</v>
      </c>
      <c r="V52" t="s">
        <v>34</v>
      </c>
      <c r="W52" t="s">
        <v>63</v>
      </c>
      <c r="X52" t="s">
        <v>59</v>
      </c>
      <c r="Y52" t="s">
        <v>165</v>
      </c>
    </row>
    <row r="53" spans="1:25" x14ac:dyDescent="0.3">
      <c r="A53">
        <v>10391</v>
      </c>
      <c r="B53">
        <v>24</v>
      </c>
      <c r="C53">
        <v>100</v>
      </c>
      <c r="D53">
        <v>4</v>
      </c>
      <c r="E53">
        <v>2416.56</v>
      </c>
      <c r="F53" s="1">
        <v>38598</v>
      </c>
      <c r="G53" t="s">
        <v>26</v>
      </c>
      <c r="H53">
        <v>1</v>
      </c>
      <c r="I53">
        <v>3</v>
      </c>
      <c r="J53">
        <v>2005</v>
      </c>
      <c r="K53" t="s">
        <v>198</v>
      </c>
      <c r="L53">
        <v>214</v>
      </c>
      <c r="M53" t="s">
        <v>199</v>
      </c>
      <c r="N53" t="s">
        <v>318</v>
      </c>
      <c r="O53" t="s">
        <v>319</v>
      </c>
      <c r="P53" t="s">
        <v>320</v>
      </c>
      <c r="Q53" t="s">
        <v>321</v>
      </c>
      <c r="R53" t="s">
        <v>322</v>
      </c>
      <c r="S53" t="s">
        <v>172</v>
      </c>
      <c r="T53">
        <v>2060</v>
      </c>
      <c r="U53" t="s">
        <v>101</v>
      </c>
      <c r="V53" t="s">
        <v>102</v>
      </c>
      <c r="W53" t="s">
        <v>323</v>
      </c>
      <c r="X53" t="s">
        <v>324</v>
      </c>
      <c r="Y53" t="s">
        <v>37</v>
      </c>
    </row>
    <row r="54" spans="1:25" x14ac:dyDescent="0.3">
      <c r="A54">
        <v>10411</v>
      </c>
      <c r="B54">
        <v>23</v>
      </c>
      <c r="C54">
        <v>100</v>
      </c>
      <c r="D54">
        <v>9</v>
      </c>
      <c r="E54">
        <v>4140.2299999999996</v>
      </c>
      <c r="F54" s="1">
        <v>38357</v>
      </c>
      <c r="G54" t="s">
        <v>26</v>
      </c>
      <c r="H54">
        <v>2</v>
      </c>
      <c r="I54">
        <v>5</v>
      </c>
      <c r="J54">
        <v>2005</v>
      </c>
      <c r="K54" t="s">
        <v>198</v>
      </c>
      <c r="L54">
        <v>214</v>
      </c>
      <c r="M54" t="s">
        <v>199</v>
      </c>
      <c r="N54" t="s">
        <v>325</v>
      </c>
      <c r="O54" t="s">
        <v>326</v>
      </c>
      <c r="P54" t="s">
        <v>327</v>
      </c>
      <c r="R54" t="s">
        <v>328</v>
      </c>
      <c r="S54" t="s">
        <v>329</v>
      </c>
      <c r="T54" t="s">
        <v>330</v>
      </c>
      <c r="U54" t="s">
        <v>255</v>
      </c>
      <c r="V54" t="s">
        <v>34</v>
      </c>
      <c r="W54" t="s">
        <v>331</v>
      </c>
      <c r="X54" t="s">
        <v>332</v>
      </c>
      <c r="Y54" t="s">
        <v>52</v>
      </c>
    </row>
    <row r="55" spans="1:25" x14ac:dyDescent="0.3">
      <c r="A55">
        <v>10424</v>
      </c>
      <c r="B55">
        <v>50</v>
      </c>
      <c r="C55">
        <v>100</v>
      </c>
      <c r="D55">
        <v>6</v>
      </c>
      <c r="E55">
        <v>12001</v>
      </c>
      <c r="F55" t="s">
        <v>333</v>
      </c>
      <c r="G55" t="s">
        <v>334</v>
      </c>
      <c r="H55">
        <v>2</v>
      </c>
      <c r="I55">
        <v>5</v>
      </c>
      <c r="J55">
        <v>2005</v>
      </c>
      <c r="K55" t="s">
        <v>198</v>
      </c>
      <c r="L55">
        <v>214</v>
      </c>
      <c r="M55" t="s">
        <v>199</v>
      </c>
      <c r="N55" t="s">
        <v>190</v>
      </c>
      <c r="O55" t="s">
        <v>191</v>
      </c>
      <c r="P55" t="s">
        <v>192</v>
      </c>
      <c r="R55" t="s">
        <v>193</v>
      </c>
      <c r="T55">
        <v>28034</v>
      </c>
      <c r="U55" t="s">
        <v>194</v>
      </c>
      <c r="V55" t="s">
        <v>43</v>
      </c>
      <c r="W55" t="s">
        <v>195</v>
      </c>
      <c r="X55" t="s">
        <v>196</v>
      </c>
      <c r="Y55" t="s">
        <v>165</v>
      </c>
    </row>
    <row r="56" spans="1:25" x14ac:dyDescent="0.3">
      <c r="A56">
        <v>10120</v>
      </c>
      <c r="B56">
        <v>29</v>
      </c>
      <c r="C56">
        <v>96.34</v>
      </c>
      <c r="D56">
        <v>3</v>
      </c>
      <c r="E56">
        <v>2793.86</v>
      </c>
      <c r="F56" t="s">
        <v>335</v>
      </c>
      <c r="G56" t="s">
        <v>26</v>
      </c>
      <c r="H56">
        <v>2</v>
      </c>
      <c r="I56">
        <v>4</v>
      </c>
      <c r="J56">
        <v>2003</v>
      </c>
      <c r="K56" t="s">
        <v>27</v>
      </c>
      <c r="L56">
        <v>118</v>
      </c>
      <c r="M56" t="s">
        <v>336</v>
      </c>
      <c r="N56" t="s">
        <v>95</v>
      </c>
      <c r="O56" t="s">
        <v>96</v>
      </c>
      <c r="P56" t="s">
        <v>97</v>
      </c>
      <c r="Q56" t="s">
        <v>98</v>
      </c>
      <c r="R56" t="s">
        <v>99</v>
      </c>
      <c r="S56" t="s">
        <v>100</v>
      </c>
      <c r="T56">
        <v>3004</v>
      </c>
      <c r="U56" t="s">
        <v>101</v>
      </c>
      <c r="V56" t="s">
        <v>102</v>
      </c>
      <c r="W56" t="s">
        <v>103</v>
      </c>
      <c r="X56" t="s">
        <v>104</v>
      </c>
      <c r="Y56" t="s">
        <v>37</v>
      </c>
    </row>
    <row r="57" spans="1:25" x14ac:dyDescent="0.3">
      <c r="A57">
        <v>10210</v>
      </c>
      <c r="B57">
        <v>23</v>
      </c>
      <c r="C57">
        <v>100</v>
      </c>
      <c r="D57">
        <v>2</v>
      </c>
      <c r="E57">
        <v>3009.09</v>
      </c>
      <c r="F57" s="1">
        <v>38322</v>
      </c>
      <c r="G57" t="s">
        <v>26</v>
      </c>
      <c r="H57">
        <v>1</v>
      </c>
      <c r="I57">
        <v>1</v>
      </c>
      <c r="J57">
        <v>2004</v>
      </c>
      <c r="K57" t="s">
        <v>27</v>
      </c>
      <c r="L57">
        <v>118</v>
      </c>
      <c r="M57" t="s">
        <v>336</v>
      </c>
      <c r="N57" t="s">
        <v>337</v>
      </c>
      <c r="O57" t="s">
        <v>338</v>
      </c>
      <c r="P57" t="s">
        <v>339</v>
      </c>
      <c r="R57" t="s">
        <v>340</v>
      </c>
      <c r="S57" t="s">
        <v>340</v>
      </c>
      <c r="T57" t="s">
        <v>341</v>
      </c>
      <c r="U57" t="s">
        <v>221</v>
      </c>
      <c r="V57" t="s">
        <v>221</v>
      </c>
      <c r="W57" t="s">
        <v>342</v>
      </c>
      <c r="X57" t="s">
        <v>343</v>
      </c>
      <c r="Y57" t="s">
        <v>52</v>
      </c>
    </row>
    <row r="58" spans="1:25" x14ac:dyDescent="0.3">
      <c r="A58">
        <v>10236</v>
      </c>
      <c r="B58">
        <v>22</v>
      </c>
      <c r="C58">
        <v>100</v>
      </c>
      <c r="D58">
        <v>1</v>
      </c>
      <c r="E58">
        <v>2852.08</v>
      </c>
      <c r="F58" s="1">
        <v>38050</v>
      </c>
      <c r="G58" t="s">
        <v>26</v>
      </c>
      <c r="H58">
        <v>2</v>
      </c>
      <c r="I58">
        <v>4</v>
      </c>
      <c r="J58">
        <v>2004</v>
      </c>
      <c r="K58" t="s">
        <v>27</v>
      </c>
      <c r="L58">
        <v>118</v>
      </c>
      <c r="M58" t="s">
        <v>336</v>
      </c>
      <c r="N58" t="s">
        <v>344</v>
      </c>
      <c r="O58">
        <v>2155559857</v>
      </c>
      <c r="P58" t="s">
        <v>345</v>
      </c>
      <c r="R58" t="s">
        <v>239</v>
      </c>
      <c r="S58" t="s">
        <v>154</v>
      </c>
      <c r="T58">
        <v>71270</v>
      </c>
      <c r="U58" t="s">
        <v>33</v>
      </c>
      <c r="V58" t="s">
        <v>34</v>
      </c>
      <c r="W58" t="s">
        <v>134</v>
      </c>
      <c r="X58" t="s">
        <v>346</v>
      </c>
      <c r="Y58" t="s">
        <v>37</v>
      </c>
    </row>
    <row r="59" spans="1:25" x14ac:dyDescent="0.3">
      <c r="A59">
        <v>10298</v>
      </c>
      <c r="B59">
        <v>39</v>
      </c>
      <c r="C59">
        <v>96.34</v>
      </c>
      <c r="D59">
        <v>1</v>
      </c>
      <c r="E59">
        <v>3757.26</v>
      </c>
      <c r="F59" t="s">
        <v>347</v>
      </c>
      <c r="G59" t="s">
        <v>26</v>
      </c>
      <c r="H59">
        <v>3</v>
      </c>
      <c r="I59">
        <v>9</v>
      </c>
      <c r="J59">
        <v>2004</v>
      </c>
      <c r="K59" t="s">
        <v>27</v>
      </c>
      <c r="L59">
        <v>118</v>
      </c>
      <c r="M59" t="s">
        <v>336</v>
      </c>
      <c r="N59" t="s">
        <v>348</v>
      </c>
      <c r="O59" t="s">
        <v>349</v>
      </c>
      <c r="P59" t="s">
        <v>350</v>
      </c>
      <c r="R59" t="s">
        <v>126</v>
      </c>
      <c r="T59">
        <v>44000</v>
      </c>
      <c r="U59" t="s">
        <v>42</v>
      </c>
      <c r="V59" t="s">
        <v>43</v>
      </c>
      <c r="W59" t="s">
        <v>351</v>
      </c>
      <c r="X59" t="s">
        <v>352</v>
      </c>
      <c r="Y59" t="s">
        <v>52</v>
      </c>
    </row>
    <row r="60" spans="1:25" x14ac:dyDescent="0.3">
      <c r="A60">
        <v>10308</v>
      </c>
      <c r="B60">
        <v>34</v>
      </c>
      <c r="C60">
        <v>100</v>
      </c>
      <c r="D60">
        <v>2</v>
      </c>
      <c r="E60">
        <v>4043.96</v>
      </c>
      <c r="F60" t="s">
        <v>144</v>
      </c>
      <c r="G60" t="s">
        <v>26</v>
      </c>
      <c r="H60">
        <v>4</v>
      </c>
      <c r="I60">
        <v>10</v>
      </c>
      <c r="J60">
        <v>2004</v>
      </c>
      <c r="K60" t="s">
        <v>27</v>
      </c>
      <c r="L60">
        <v>118</v>
      </c>
      <c r="M60" t="s">
        <v>336</v>
      </c>
      <c r="N60" t="s">
        <v>353</v>
      </c>
      <c r="O60">
        <v>9145554562</v>
      </c>
      <c r="P60" t="s">
        <v>354</v>
      </c>
      <c r="R60" t="s">
        <v>355</v>
      </c>
      <c r="S60" t="s">
        <v>32</v>
      </c>
      <c r="T60">
        <v>24067</v>
      </c>
      <c r="U60" t="s">
        <v>33</v>
      </c>
      <c r="V60" t="s">
        <v>34</v>
      </c>
      <c r="W60" t="s">
        <v>108</v>
      </c>
      <c r="X60" t="s">
        <v>263</v>
      </c>
      <c r="Y60" t="s">
        <v>52</v>
      </c>
    </row>
    <row r="61" spans="1:25" x14ac:dyDescent="0.3">
      <c r="A61">
        <v>10339</v>
      </c>
      <c r="B61">
        <v>40</v>
      </c>
      <c r="C61">
        <v>68.92</v>
      </c>
      <c r="D61">
        <v>4</v>
      </c>
      <c r="E61">
        <v>2756.8</v>
      </c>
      <c r="F61" t="s">
        <v>356</v>
      </c>
      <c r="G61" t="s">
        <v>26</v>
      </c>
      <c r="H61">
        <v>4</v>
      </c>
      <c r="I61">
        <v>11</v>
      </c>
      <c r="J61">
        <v>2004</v>
      </c>
      <c r="K61" t="s">
        <v>27</v>
      </c>
      <c r="L61">
        <v>118</v>
      </c>
      <c r="M61" t="s">
        <v>336</v>
      </c>
      <c r="N61" t="s">
        <v>272</v>
      </c>
      <c r="O61" t="s">
        <v>273</v>
      </c>
      <c r="P61" t="s">
        <v>274</v>
      </c>
      <c r="R61" t="s">
        <v>275</v>
      </c>
      <c r="S61" t="s">
        <v>276</v>
      </c>
      <c r="T61" t="s">
        <v>277</v>
      </c>
      <c r="U61" t="s">
        <v>221</v>
      </c>
      <c r="V61" t="s">
        <v>221</v>
      </c>
      <c r="W61" t="s">
        <v>278</v>
      </c>
      <c r="X61" t="s">
        <v>279</v>
      </c>
      <c r="Y61" t="s">
        <v>37</v>
      </c>
    </row>
    <row r="62" spans="1:25" x14ac:dyDescent="0.3">
      <c r="A62">
        <v>10374</v>
      </c>
      <c r="B62">
        <v>39</v>
      </c>
      <c r="C62">
        <v>100</v>
      </c>
      <c r="D62">
        <v>5</v>
      </c>
      <c r="E62">
        <v>5288.01</v>
      </c>
      <c r="F62" s="1">
        <v>38385</v>
      </c>
      <c r="G62" t="s">
        <v>26</v>
      </c>
      <c r="H62">
        <v>1</v>
      </c>
      <c r="I62">
        <v>2</v>
      </c>
      <c r="J62">
        <v>2005</v>
      </c>
      <c r="K62" t="s">
        <v>27</v>
      </c>
      <c r="L62">
        <v>118</v>
      </c>
      <c r="M62" t="s">
        <v>336</v>
      </c>
      <c r="N62" t="s">
        <v>229</v>
      </c>
      <c r="O62" t="s">
        <v>230</v>
      </c>
      <c r="P62" t="s">
        <v>231</v>
      </c>
      <c r="R62" t="s">
        <v>232</v>
      </c>
      <c r="S62" t="s">
        <v>233</v>
      </c>
      <c r="T62">
        <v>4101</v>
      </c>
      <c r="U62" t="s">
        <v>101</v>
      </c>
      <c r="V62" t="s">
        <v>102</v>
      </c>
      <c r="W62" t="s">
        <v>234</v>
      </c>
      <c r="X62" t="s">
        <v>235</v>
      </c>
      <c r="Y62" t="s">
        <v>52</v>
      </c>
    </row>
    <row r="63" spans="1:25" x14ac:dyDescent="0.3">
      <c r="A63">
        <v>10402</v>
      </c>
      <c r="B63">
        <v>45</v>
      </c>
      <c r="C63">
        <v>100</v>
      </c>
      <c r="D63">
        <v>1</v>
      </c>
      <c r="E63">
        <v>5833.8</v>
      </c>
      <c r="F63" s="1">
        <v>38537</v>
      </c>
      <c r="G63" t="s">
        <v>26</v>
      </c>
      <c r="H63">
        <v>2</v>
      </c>
      <c r="I63">
        <v>4</v>
      </c>
      <c r="J63">
        <v>2005</v>
      </c>
      <c r="K63" t="s">
        <v>27</v>
      </c>
      <c r="L63">
        <v>118</v>
      </c>
      <c r="M63" t="s">
        <v>336</v>
      </c>
      <c r="N63" t="s">
        <v>89</v>
      </c>
      <c r="O63" t="s">
        <v>90</v>
      </c>
      <c r="P63" t="s">
        <v>91</v>
      </c>
      <c r="R63" t="s">
        <v>49</v>
      </c>
      <c r="T63">
        <v>75016</v>
      </c>
      <c r="U63" t="s">
        <v>42</v>
      </c>
      <c r="V63" t="s">
        <v>43</v>
      </c>
      <c r="W63" t="s">
        <v>92</v>
      </c>
      <c r="X63" t="s">
        <v>93</v>
      </c>
      <c r="Y63" t="s">
        <v>52</v>
      </c>
    </row>
    <row r="64" spans="1:25" x14ac:dyDescent="0.3">
      <c r="A64">
        <v>10362</v>
      </c>
      <c r="B64">
        <v>22</v>
      </c>
      <c r="C64">
        <v>100</v>
      </c>
      <c r="D64">
        <v>4</v>
      </c>
      <c r="E64">
        <v>3664.1</v>
      </c>
      <c r="F64" s="1">
        <v>38473</v>
      </c>
      <c r="G64" t="s">
        <v>26</v>
      </c>
      <c r="H64">
        <v>1</v>
      </c>
      <c r="I64">
        <v>1</v>
      </c>
      <c r="J64">
        <v>2005</v>
      </c>
      <c r="K64" t="s">
        <v>27</v>
      </c>
      <c r="L64">
        <v>193</v>
      </c>
      <c r="M64" t="s">
        <v>357</v>
      </c>
      <c r="N64" t="s">
        <v>65</v>
      </c>
      <c r="O64">
        <v>6505556809</v>
      </c>
      <c r="P64" t="s">
        <v>66</v>
      </c>
      <c r="R64" t="s">
        <v>67</v>
      </c>
      <c r="S64" t="s">
        <v>57</v>
      </c>
      <c r="T64">
        <v>94217</v>
      </c>
      <c r="U64" t="s">
        <v>33</v>
      </c>
      <c r="V64" t="s">
        <v>34</v>
      </c>
      <c r="W64" t="s">
        <v>68</v>
      </c>
      <c r="X64" t="s">
        <v>69</v>
      </c>
      <c r="Y64" t="s">
        <v>52</v>
      </c>
    </row>
    <row r="65" spans="1:25" x14ac:dyDescent="0.3">
      <c r="A65">
        <v>10105</v>
      </c>
      <c r="B65">
        <v>50</v>
      </c>
      <c r="C65">
        <v>100</v>
      </c>
      <c r="D65">
        <v>2</v>
      </c>
      <c r="E65">
        <v>7208</v>
      </c>
      <c r="F65" s="1">
        <v>37927</v>
      </c>
      <c r="G65" t="s">
        <v>26</v>
      </c>
      <c r="H65">
        <v>1</v>
      </c>
      <c r="I65">
        <v>2</v>
      </c>
      <c r="J65">
        <v>2003</v>
      </c>
      <c r="K65" t="s">
        <v>198</v>
      </c>
      <c r="L65">
        <v>136</v>
      </c>
      <c r="M65" t="s">
        <v>358</v>
      </c>
      <c r="N65" t="s">
        <v>359</v>
      </c>
      <c r="O65" t="s">
        <v>360</v>
      </c>
      <c r="P65" t="s">
        <v>361</v>
      </c>
      <c r="R65" t="s">
        <v>362</v>
      </c>
      <c r="T65">
        <v>1734</v>
      </c>
      <c r="U65" t="s">
        <v>363</v>
      </c>
      <c r="V65" t="s">
        <v>43</v>
      </c>
      <c r="W65" t="s">
        <v>364</v>
      </c>
      <c r="X65" t="s">
        <v>365</v>
      </c>
      <c r="Y65" t="s">
        <v>165</v>
      </c>
    </row>
    <row r="66" spans="1:25" x14ac:dyDescent="0.3">
      <c r="A66">
        <v>10119</v>
      </c>
      <c r="B66">
        <v>46</v>
      </c>
      <c r="C66">
        <v>100</v>
      </c>
      <c r="D66">
        <v>11</v>
      </c>
      <c r="E66">
        <v>5004.8</v>
      </c>
      <c r="F66" t="s">
        <v>366</v>
      </c>
      <c r="G66" t="s">
        <v>26</v>
      </c>
      <c r="H66">
        <v>2</v>
      </c>
      <c r="I66">
        <v>4</v>
      </c>
      <c r="J66">
        <v>2003</v>
      </c>
      <c r="K66" t="s">
        <v>198</v>
      </c>
      <c r="L66">
        <v>136</v>
      </c>
      <c r="M66" t="s">
        <v>358</v>
      </c>
      <c r="N66" t="s">
        <v>158</v>
      </c>
      <c r="O66" t="s">
        <v>159</v>
      </c>
      <c r="P66" t="s">
        <v>160</v>
      </c>
      <c r="R66" t="s">
        <v>161</v>
      </c>
      <c r="T66">
        <v>5020</v>
      </c>
      <c r="U66" t="s">
        <v>162</v>
      </c>
      <c r="V66" t="s">
        <v>43</v>
      </c>
      <c r="W66" t="s">
        <v>163</v>
      </c>
      <c r="X66" t="s">
        <v>164</v>
      </c>
      <c r="Y66" t="s">
        <v>52</v>
      </c>
    </row>
    <row r="67" spans="1:25" x14ac:dyDescent="0.3">
      <c r="A67">
        <v>10129</v>
      </c>
      <c r="B67">
        <v>33</v>
      </c>
      <c r="C67">
        <v>100</v>
      </c>
      <c r="D67">
        <v>2</v>
      </c>
      <c r="E67">
        <v>4398.24</v>
      </c>
      <c r="F67" s="1">
        <v>37961</v>
      </c>
      <c r="G67" t="s">
        <v>26</v>
      </c>
      <c r="H67">
        <v>2</v>
      </c>
      <c r="I67">
        <v>6</v>
      </c>
      <c r="J67">
        <v>2003</v>
      </c>
      <c r="K67" t="s">
        <v>198</v>
      </c>
      <c r="L67">
        <v>136</v>
      </c>
      <c r="M67" t="s">
        <v>358</v>
      </c>
      <c r="N67" t="s">
        <v>367</v>
      </c>
      <c r="O67" t="s">
        <v>368</v>
      </c>
      <c r="P67" t="s">
        <v>369</v>
      </c>
      <c r="R67" t="s">
        <v>370</v>
      </c>
      <c r="T67" t="s">
        <v>371</v>
      </c>
      <c r="U67" t="s">
        <v>185</v>
      </c>
      <c r="V67" t="s">
        <v>43</v>
      </c>
      <c r="W67" t="s">
        <v>63</v>
      </c>
      <c r="X67" t="s">
        <v>372</v>
      </c>
      <c r="Y67" t="s">
        <v>52</v>
      </c>
    </row>
    <row r="68" spans="1:25" x14ac:dyDescent="0.3">
      <c r="A68">
        <v>10143</v>
      </c>
      <c r="B68">
        <v>49</v>
      </c>
      <c r="C68">
        <v>100</v>
      </c>
      <c r="D68">
        <v>15</v>
      </c>
      <c r="E68">
        <v>5597.76</v>
      </c>
      <c r="F68" s="1">
        <v>37902</v>
      </c>
      <c r="G68" t="s">
        <v>26</v>
      </c>
      <c r="H68">
        <v>3</v>
      </c>
      <c r="I68">
        <v>8</v>
      </c>
      <c r="J68">
        <v>2003</v>
      </c>
      <c r="K68" t="s">
        <v>198</v>
      </c>
      <c r="L68">
        <v>136</v>
      </c>
      <c r="M68" t="s">
        <v>358</v>
      </c>
      <c r="N68" t="s">
        <v>373</v>
      </c>
      <c r="O68">
        <v>5085559555</v>
      </c>
      <c r="P68" t="s">
        <v>374</v>
      </c>
      <c r="R68" t="s">
        <v>177</v>
      </c>
      <c r="S68" t="s">
        <v>133</v>
      </c>
      <c r="T68">
        <v>50553</v>
      </c>
      <c r="U68" t="s">
        <v>33</v>
      </c>
      <c r="V68" t="s">
        <v>34</v>
      </c>
      <c r="W68" t="s">
        <v>375</v>
      </c>
      <c r="X68" t="s">
        <v>376</v>
      </c>
      <c r="Y68" t="s">
        <v>52</v>
      </c>
    </row>
    <row r="69" spans="1:25" x14ac:dyDescent="0.3">
      <c r="A69">
        <v>10155</v>
      </c>
      <c r="B69">
        <v>32</v>
      </c>
      <c r="C69">
        <v>100</v>
      </c>
      <c r="D69">
        <v>13</v>
      </c>
      <c r="E69">
        <v>4526.08</v>
      </c>
      <c r="F69" s="1">
        <v>37782</v>
      </c>
      <c r="G69" t="s">
        <v>26</v>
      </c>
      <c r="H69">
        <v>4</v>
      </c>
      <c r="I69">
        <v>10</v>
      </c>
      <c r="J69">
        <v>2003</v>
      </c>
      <c r="K69" t="s">
        <v>198</v>
      </c>
      <c r="L69">
        <v>136</v>
      </c>
      <c r="M69" t="s">
        <v>358</v>
      </c>
      <c r="N69" t="s">
        <v>137</v>
      </c>
      <c r="O69" t="s">
        <v>138</v>
      </c>
      <c r="P69" t="s">
        <v>139</v>
      </c>
      <c r="R69" t="s">
        <v>140</v>
      </c>
      <c r="T69">
        <v>21240</v>
      </c>
      <c r="U69" t="s">
        <v>141</v>
      </c>
      <c r="V69" t="s">
        <v>43</v>
      </c>
      <c r="W69" t="s">
        <v>142</v>
      </c>
      <c r="X69" t="s">
        <v>143</v>
      </c>
      <c r="Y69" t="s">
        <v>52</v>
      </c>
    </row>
    <row r="70" spans="1:25" x14ac:dyDescent="0.3">
      <c r="A70">
        <v>10167</v>
      </c>
      <c r="B70">
        <v>44</v>
      </c>
      <c r="C70">
        <v>100</v>
      </c>
      <c r="D70">
        <v>9</v>
      </c>
      <c r="E70">
        <v>5924.16</v>
      </c>
      <c r="F70" t="s">
        <v>377</v>
      </c>
      <c r="G70" t="s">
        <v>378</v>
      </c>
      <c r="H70">
        <v>4</v>
      </c>
      <c r="I70">
        <v>10</v>
      </c>
      <c r="J70">
        <v>2003</v>
      </c>
      <c r="K70" t="s">
        <v>198</v>
      </c>
      <c r="L70">
        <v>136</v>
      </c>
      <c r="M70" t="s">
        <v>358</v>
      </c>
      <c r="N70" t="s">
        <v>289</v>
      </c>
      <c r="O70" t="s">
        <v>290</v>
      </c>
      <c r="P70" t="s">
        <v>291</v>
      </c>
      <c r="R70" t="s">
        <v>292</v>
      </c>
      <c r="T70" t="s">
        <v>293</v>
      </c>
      <c r="U70" t="s">
        <v>206</v>
      </c>
      <c r="V70" t="s">
        <v>43</v>
      </c>
      <c r="W70" t="s">
        <v>294</v>
      </c>
      <c r="X70" t="s">
        <v>228</v>
      </c>
      <c r="Y70" t="s">
        <v>52</v>
      </c>
    </row>
    <row r="71" spans="1:25" x14ac:dyDescent="0.3">
      <c r="A71">
        <v>10178</v>
      </c>
      <c r="B71">
        <v>24</v>
      </c>
      <c r="C71">
        <v>100</v>
      </c>
      <c r="D71">
        <v>12</v>
      </c>
      <c r="E71">
        <v>3492.48</v>
      </c>
      <c r="F71" s="1">
        <v>37844</v>
      </c>
      <c r="G71" t="s">
        <v>26</v>
      </c>
      <c r="H71">
        <v>4</v>
      </c>
      <c r="I71">
        <v>11</v>
      </c>
      <c r="J71">
        <v>2003</v>
      </c>
      <c r="K71" t="s">
        <v>198</v>
      </c>
      <c r="L71">
        <v>136</v>
      </c>
      <c r="M71" t="s">
        <v>358</v>
      </c>
      <c r="N71" t="s">
        <v>379</v>
      </c>
      <c r="O71" t="s">
        <v>380</v>
      </c>
      <c r="P71" t="s">
        <v>381</v>
      </c>
      <c r="R71" t="s">
        <v>382</v>
      </c>
      <c r="T71">
        <v>31000</v>
      </c>
      <c r="U71" t="s">
        <v>42</v>
      </c>
      <c r="V71" t="s">
        <v>43</v>
      </c>
      <c r="W71" t="s">
        <v>383</v>
      </c>
      <c r="X71" t="s">
        <v>384</v>
      </c>
      <c r="Y71" t="s">
        <v>52</v>
      </c>
    </row>
    <row r="72" spans="1:25" x14ac:dyDescent="0.3">
      <c r="A72">
        <v>10186</v>
      </c>
      <c r="B72">
        <v>26</v>
      </c>
      <c r="C72">
        <v>100</v>
      </c>
      <c r="D72">
        <v>9</v>
      </c>
      <c r="E72">
        <v>3854.24</v>
      </c>
      <c r="F72" t="s">
        <v>385</v>
      </c>
      <c r="G72" t="s">
        <v>26</v>
      </c>
      <c r="H72">
        <v>4</v>
      </c>
      <c r="I72">
        <v>11</v>
      </c>
      <c r="J72">
        <v>2003</v>
      </c>
      <c r="K72" t="s">
        <v>198</v>
      </c>
      <c r="L72">
        <v>136</v>
      </c>
      <c r="M72" t="s">
        <v>358</v>
      </c>
      <c r="N72" t="s">
        <v>386</v>
      </c>
      <c r="O72" t="s">
        <v>387</v>
      </c>
      <c r="P72" t="s">
        <v>388</v>
      </c>
      <c r="R72" t="s">
        <v>370</v>
      </c>
      <c r="T72" t="s">
        <v>389</v>
      </c>
      <c r="U72" t="s">
        <v>185</v>
      </c>
      <c r="V72" t="s">
        <v>43</v>
      </c>
      <c r="W72" t="s">
        <v>390</v>
      </c>
      <c r="X72" t="s">
        <v>391</v>
      </c>
      <c r="Y72" t="s">
        <v>52</v>
      </c>
    </row>
    <row r="73" spans="1:25" x14ac:dyDescent="0.3">
      <c r="A73">
        <v>10197</v>
      </c>
      <c r="B73">
        <v>45</v>
      </c>
      <c r="C73">
        <v>100</v>
      </c>
      <c r="D73">
        <v>6</v>
      </c>
      <c r="E73">
        <v>5324.4</v>
      </c>
      <c r="F73" t="s">
        <v>392</v>
      </c>
      <c r="G73" t="s">
        <v>26</v>
      </c>
      <c r="H73">
        <v>4</v>
      </c>
      <c r="I73">
        <v>11</v>
      </c>
      <c r="J73">
        <v>2003</v>
      </c>
      <c r="K73" t="s">
        <v>198</v>
      </c>
      <c r="L73">
        <v>136</v>
      </c>
      <c r="M73" t="s">
        <v>358</v>
      </c>
      <c r="N73" t="s">
        <v>393</v>
      </c>
      <c r="O73" t="s">
        <v>394</v>
      </c>
      <c r="P73" t="s">
        <v>395</v>
      </c>
      <c r="R73" t="s">
        <v>396</v>
      </c>
      <c r="T73">
        <v>8022</v>
      </c>
      <c r="U73" t="s">
        <v>194</v>
      </c>
      <c r="V73" t="s">
        <v>43</v>
      </c>
      <c r="W73" t="s">
        <v>397</v>
      </c>
      <c r="X73" t="s">
        <v>398</v>
      </c>
      <c r="Y73" t="s">
        <v>52</v>
      </c>
    </row>
    <row r="74" spans="1:25" x14ac:dyDescent="0.3">
      <c r="A74">
        <v>10209</v>
      </c>
      <c r="B74">
        <v>39</v>
      </c>
      <c r="C74">
        <v>100</v>
      </c>
      <c r="D74">
        <v>8</v>
      </c>
      <c r="E74">
        <v>5197.92</v>
      </c>
      <c r="F74" s="1">
        <v>38231</v>
      </c>
      <c r="G74" t="s">
        <v>26</v>
      </c>
      <c r="H74">
        <v>1</v>
      </c>
      <c r="I74">
        <v>1</v>
      </c>
      <c r="J74">
        <v>2004</v>
      </c>
      <c r="K74" t="s">
        <v>198</v>
      </c>
      <c r="L74">
        <v>136</v>
      </c>
      <c r="M74" t="s">
        <v>358</v>
      </c>
      <c r="N74" t="s">
        <v>399</v>
      </c>
      <c r="O74">
        <v>2155554369</v>
      </c>
      <c r="P74" t="s">
        <v>400</v>
      </c>
      <c r="R74" t="s">
        <v>401</v>
      </c>
      <c r="S74" t="s">
        <v>57</v>
      </c>
      <c r="U74" t="s">
        <v>33</v>
      </c>
      <c r="V74" t="s">
        <v>34</v>
      </c>
      <c r="W74" t="s">
        <v>402</v>
      </c>
      <c r="X74" t="s">
        <v>109</v>
      </c>
      <c r="Y74" t="s">
        <v>52</v>
      </c>
    </row>
    <row r="75" spans="1:25" x14ac:dyDescent="0.3">
      <c r="A75">
        <v>10222</v>
      </c>
      <c r="B75">
        <v>49</v>
      </c>
      <c r="C75">
        <v>100</v>
      </c>
      <c r="D75">
        <v>12</v>
      </c>
      <c r="E75">
        <v>5997.6</v>
      </c>
      <c r="F75" t="s">
        <v>403</v>
      </c>
      <c r="G75" t="s">
        <v>26</v>
      </c>
      <c r="H75">
        <v>1</v>
      </c>
      <c r="I75">
        <v>2</v>
      </c>
      <c r="J75">
        <v>2004</v>
      </c>
      <c r="K75" t="s">
        <v>198</v>
      </c>
      <c r="L75">
        <v>136</v>
      </c>
      <c r="M75" t="s">
        <v>358</v>
      </c>
      <c r="N75" t="s">
        <v>404</v>
      </c>
      <c r="O75">
        <v>7605558146</v>
      </c>
      <c r="P75" t="s">
        <v>405</v>
      </c>
      <c r="R75" t="s">
        <v>406</v>
      </c>
      <c r="S75" t="s">
        <v>57</v>
      </c>
      <c r="T75">
        <v>91217</v>
      </c>
      <c r="U75" t="s">
        <v>33</v>
      </c>
      <c r="V75" t="s">
        <v>34</v>
      </c>
      <c r="W75" t="s">
        <v>262</v>
      </c>
      <c r="X75" t="s">
        <v>305</v>
      </c>
      <c r="Y75" t="s">
        <v>52</v>
      </c>
    </row>
    <row r="76" spans="1:25" x14ac:dyDescent="0.3">
      <c r="A76">
        <v>10248</v>
      </c>
      <c r="B76">
        <v>20</v>
      </c>
      <c r="C76">
        <v>100</v>
      </c>
      <c r="D76">
        <v>3</v>
      </c>
      <c r="E76">
        <v>2910.4</v>
      </c>
      <c r="F76" s="1">
        <v>38173</v>
      </c>
      <c r="G76" t="s">
        <v>378</v>
      </c>
      <c r="H76">
        <v>2</v>
      </c>
      <c r="I76">
        <v>5</v>
      </c>
      <c r="J76">
        <v>2004</v>
      </c>
      <c r="K76" t="s">
        <v>198</v>
      </c>
      <c r="L76">
        <v>136</v>
      </c>
      <c r="M76" t="s">
        <v>358</v>
      </c>
      <c r="N76" t="s">
        <v>29</v>
      </c>
      <c r="O76">
        <v>2125557818</v>
      </c>
      <c r="P76" t="s">
        <v>30</v>
      </c>
      <c r="R76" t="s">
        <v>31</v>
      </c>
      <c r="S76" t="s">
        <v>32</v>
      </c>
      <c r="T76">
        <v>10022</v>
      </c>
      <c r="U76" t="s">
        <v>33</v>
      </c>
      <c r="V76" t="s">
        <v>34</v>
      </c>
      <c r="W76" t="s">
        <v>35</v>
      </c>
      <c r="X76" t="s">
        <v>36</v>
      </c>
      <c r="Y76" t="s">
        <v>37</v>
      </c>
    </row>
    <row r="77" spans="1:25" x14ac:dyDescent="0.3">
      <c r="A77">
        <v>10261</v>
      </c>
      <c r="B77">
        <v>27</v>
      </c>
      <c r="C77">
        <v>100</v>
      </c>
      <c r="D77">
        <v>1</v>
      </c>
      <c r="E77">
        <v>3378.24</v>
      </c>
      <c r="F77" t="s">
        <v>407</v>
      </c>
      <c r="G77" t="s">
        <v>26</v>
      </c>
      <c r="H77">
        <v>2</v>
      </c>
      <c r="I77">
        <v>6</v>
      </c>
      <c r="J77">
        <v>2004</v>
      </c>
      <c r="K77" t="s">
        <v>198</v>
      </c>
      <c r="L77">
        <v>136</v>
      </c>
      <c r="M77" t="s">
        <v>358</v>
      </c>
      <c r="N77" t="s">
        <v>325</v>
      </c>
      <c r="O77" t="s">
        <v>326</v>
      </c>
      <c r="P77" t="s">
        <v>327</v>
      </c>
      <c r="R77" t="s">
        <v>328</v>
      </c>
      <c r="S77" t="s">
        <v>329</v>
      </c>
      <c r="T77" t="s">
        <v>330</v>
      </c>
      <c r="U77" t="s">
        <v>255</v>
      </c>
      <c r="V77" t="s">
        <v>34</v>
      </c>
      <c r="W77" t="s">
        <v>331</v>
      </c>
      <c r="X77" t="s">
        <v>332</v>
      </c>
      <c r="Y77" t="s">
        <v>52</v>
      </c>
    </row>
    <row r="78" spans="1:25" x14ac:dyDescent="0.3">
      <c r="A78">
        <v>10273</v>
      </c>
      <c r="B78">
        <v>30</v>
      </c>
      <c r="C78">
        <v>100</v>
      </c>
      <c r="D78">
        <v>4</v>
      </c>
      <c r="E78">
        <v>3508.8</v>
      </c>
      <c r="F78" t="s">
        <v>408</v>
      </c>
      <c r="G78" t="s">
        <v>26</v>
      </c>
      <c r="H78">
        <v>3</v>
      </c>
      <c r="I78">
        <v>7</v>
      </c>
      <c r="J78">
        <v>2004</v>
      </c>
      <c r="K78" t="s">
        <v>198</v>
      </c>
      <c r="L78">
        <v>136</v>
      </c>
      <c r="M78" t="s">
        <v>358</v>
      </c>
      <c r="N78" t="s">
        <v>409</v>
      </c>
      <c r="O78" t="s">
        <v>410</v>
      </c>
      <c r="P78" t="s">
        <v>411</v>
      </c>
      <c r="R78" t="s">
        <v>412</v>
      </c>
      <c r="T78" t="s">
        <v>413</v>
      </c>
      <c r="U78" t="s">
        <v>414</v>
      </c>
      <c r="V78" t="s">
        <v>43</v>
      </c>
      <c r="W78" t="s">
        <v>415</v>
      </c>
      <c r="X78" t="s">
        <v>416</v>
      </c>
      <c r="Y78" t="s">
        <v>52</v>
      </c>
    </row>
    <row r="79" spans="1:25" x14ac:dyDescent="0.3">
      <c r="A79">
        <v>10283</v>
      </c>
      <c r="B79">
        <v>25</v>
      </c>
      <c r="C79">
        <v>100</v>
      </c>
      <c r="D79">
        <v>6</v>
      </c>
      <c r="E79">
        <v>2992</v>
      </c>
      <c r="F79" t="s">
        <v>417</v>
      </c>
      <c r="G79" t="s">
        <v>26</v>
      </c>
      <c r="H79">
        <v>3</v>
      </c>
      <c r="I79">
        <v>8</v>
      </c>
      <c r="J79">
        <v>2004</v>
      </c>
      <c r="K79" t="s">
        <v>198</v>
      </c>
      <c r="L79">
        <v>136</v>
      </c>
      <c r="M79" t="s">
        <v>358</v>
      </c>
      <c r="N79" t="s">
        <v>418</v>
      </c>
      <c r="O79" t="s">
        <v>419</v>
      </c>
      <c r="P79" t="s">
        <v>420</v>
      </c>
      <c r="R79" t="s">
        <v>421</v>
      </c>
      <c r="S79" t="s">
        <v>253</v>
      </c>
      <c r="T79" t="s">
        <v>422</v>
      </c>
      <c r="U79" t="s">
        <v>255</v>
      </c>
      <c r="V79" t="s">
        <v>34</v>
      </c>
      <c r="W79" t="s">
        <v>423</v>
      </c>
      <c r="X79" t="s">
        <v>187</v>
      </c>
      <c r="Y79" t="s">
        <v>37</v>
      </c>
    </row>
    <row r="80" spans="1:25" x14ac:dyDescent="0.3">
      <c r="A80">
        <v>10295</v>
      </c>
      <c r="B80">
        <v>24</v>
      </c>
      <c r="C80">
        <v>100</v>
      </c>
      <c r="D80">
        <v>1</v>
      </c>
      <c r="E80">
        <v>3427.2</v>
      </c>
      <c r="F80" s="1">
        <v>38269</v>
      </c>
      <c r="G80" t="s">
        <v>26</v>
      </c>
      <c r="H80">
        <v>3</v>
      </c>
      <c r="I80">
        <v>9</v>
      </c>
      <c r="J80">
        <v>2004</v>
      </c>
      <c r="K80" t="s">
        <v>198</v>
      </c>
      <c r="L80">
        <v>136</v>
      </c>
      <c r="M80" t="s">
        <v>358</v>
      </c>
      <c r="N80" t="s">
        <v>424</v>
      </c>
      <c r="O80">
        <v>6175559555</v>
      </c>
      <c r="P80" t="s">
        <v>425</v>
      </c>
      <c r="R80" t="s">
        <v>426</v>
      </c>
      <c r="S80" t="s">
        <v>133</v>
      </c>
      <c r="T80">
        <v>51003</v>
      </c>
      <c r="U80" t="s">
        <v>33</v>
      </c>
      <c r="V80" t="s">
        <v>34</v>
      </c>
      <c r="W80" t="s">
        <v>427</v>
      </c>
      <c r="X80" t="s">
        <v>69</v>
      </c>
      <c r="Y80" t="s">
        <v>52</v>
      </c>
    </row>
    <row r="81" spans="1:25" x14ac:dyDescent="0.3">
      <c r="A81">
        <v>10307</v>
      </c>
      <c r="B81">
        <v>22</v>
      </c>
      <c r="C81">
        <v>100</v>
      </c>
      <c r="D81">
        <v>9</v>
      </c>
      <c r="E81">
        <v>2692.8</v>
      </c>
      <c r="F81" t="s">
        <v>428</v>
      </c>
      <c r="G81" t="s">
        <v>26</v>
      </c>
      <c r="H81">
        <v>4</v>
      </c>
      <c r="I81">
        <v>10</v>
      </c>
      <c r="J81">
        <v>2004</v>
      </c>
      <c r="K81" t="s">
        <v>198</v>
      </c>
      <c r="L81">
        <v>136</v>
      </c>
      <c r="M81" t="s">
        <v>358</v>
      </c>
      <c r="N81" t="s">
        <v>237</v>
      </c>
      <c r="O81">
        <v>2155554695</v>
      </c>
      <c r="P81" t="s">
        <v>238</v>
      </c>
      <c r="R81" t="s">
        <v>239</v>
      </c>
      <c r="S81" t="s">
        <v>154</v>
      </c>
      <c r="T81">
        <v>71270</v>
      </c>
      <c r="U81" t="s">
        <v>33</v>
      </c>
      <c r="V81" t="s">
        <v>34</v>
      </c>
      <c r="W81" t="s">
        <v>240</v>
      </c>
      <c r="X81" t="s">
        <v>241</v>
      </c>
      <c r="Y81" t="s">
        <v>37</v>
      </c>
    </row>
    <row r="82" spans="1:25" x14ac:dyDescent="0.3">
      <c r="A82">
        <v>10316</v>
      </c>
      <c r="B82">
        <v>33</v>
      </c>
      <c r="C82">
        <v>100</v>
      </c>
      <c r="D82">
        <v>17</v>
      </c>
      <c r="E82">
        <v>4128.96</v>
      </c>
      <c r="F82" s="1">
        <v>37997</v>
      </c>
      <c r="G82" t="s">
        <v>26</v>
      </c>
      <c r="H82">
        <v>4</v>
      </c>
      <c r="I82">
        <v>11</v>
      </c>
      <c r="J82">
        <v>2004</v>
      </c>
      <c r="K82" t="s">
        <v>198</v>
      </c>
      <c r="L82">
        <v>136</v>
      </c>
      <c r="M82" t="s">
        <v>358</v>
      </c>
      <c r="N82" t="s">
        <v>429</v>
      </c>
      <c r="O82" t="s">
        <v>430</v>
      </c>
      <c r="P82" t="s">
        <v>431</v>
      </c>
      <c r="R82" t="s">
        <v>432</v>
      </c>
      <c r="S82" t="s">
        <v>433</v>
      </c>
      <c r="T82" t="s">
        <v>434</v>
      </c>
      <c r="U82" t="s">
        <v>185</v>
      </c>
      <c r="V82" t="s">
        <v>43</v>
      </c>
      <c r="W82" t="s">
        <v>435</v>
      </c>
      <c r="X82" t="s">
        <v>436</v>
      </c>
      <c r="Y82" t="s">
        <v>52</v>
      </c>
    </row>
    <row r="83" spans="1:25" x14ac:dyDescent="0.3">
      <c r="A83">
        <v>10325</v>
      </c>
      <c r="B83">
        <v>47</v>
      </c>
      <c r="C83">
        <v>64.930000000000007</v>
      </c>
      <c r="D83">
        <v>6</v>
      </c>
      <c r="E83">
        <v>3051.71</v>
      </c>
      <c r="F83" s="1">
        <v>38118</v>
      </c>
      <c r="G83" t="s">
        <v>26</v>
      </c>
      <c r="H83">
        <v>4</v>
      </c>
      <c r="I83">
        <v>11</v>
      </c>
      <c r="J83">
        <v>2004</v>
      </c>
      <c r="K83" t="s">
        <v>198</v>
      </c>
      <c r="L83">
        <v>136</v>
      </c>
      <c r="M83" t="s">
        <v>358</v>
      </c>
      <c r="N83" t="s">
        <v>145</v>
      </c>
      <c r="O83" t="s">
        <v>146</v>
      </c>
      <c r="P83" t="s">
        <v>147</v>
      </c>
      <c r="R83" t="s">
        <v>148</v>
      </c>
      <c r="T83">
        <v>4110</v>
      </c>
      <c r="U83" t="s">
        <v>82</v>
      </c>
      <c r="V83" t="s">
        <v>43</v>
      </c>
      <c r="W83" t="s">
        <v>149</v>
      </c>
      <c r="X83" t="s">
        <v>150</v>
      </c>
      <c r="Y83" t="s">
        <v>52</v>
      </c>
    </row>
    <row r="84" spans="1:25" x14ac:dyDescent="0.3">
      <c r="A84">
        <v>10337</v>
      </c>
      <c r="B84">
        <v>25</v>
      </c>
      <c r="C84">
        <v>48.05</v>
      </c>
      <c r="D84">
        <v>8</v>
      </c>
      <c r="E84">
        <v>1201.25</v>
      </c>
      <c r="F84" t="s">
        <v>437</v>
      </c>
      <c r="G84" t="s">
        <v>26</v>
      </c>
      <c r="H84">
        <v>4</v>
      </c>
      <c r="I84">
        <v>11</v>
      </c>
      <c r="J84">
        <v>2004</v>
      </c>
      <c r="K84" t="s">
        <v>198</v>
      </c>
      <c r="L84">
        <v>136</v>
      </c>
      <c r="M84" t="s">
        <v>358</v>
      </c>
      <c r="N84" t="s">
        <v>225</v>
      </c>
      <c r="O84">
        <v>2125558493</v>
      </c>
      <c r="P84" t="s">
        <v>226</v>
      </c>
      <c r="Q84" t="s">
        <v>227</v>
      </c>
      <c r="R84" t="s">
        <v>31</v>
      </c>
      <c r="S84" t="s">
        <v>32</v>
      </c>
      <c r="T84">
        <v>10022</v>
      </c>
      <c r="U84" t="s">
        <v>33</v>
      </c>
      <c r="V84" t="s">
        <v>34</v>
      </c>
      <c r="W84" t="s">
        <v>134</v>
      </c>
      <c r="X84" t="s">
        <v>228</v>
      </c>
      <c r="Y84" t="s">
        <v>37</v>
      </c>
    </row>
    <row r="85" spans="1:25" x14ac:dyDescent="0.3">
      <c r="A85">
        <v>10350</v>
      </c>
      <c r="B85">
        <v>26</v>
      </c>
      <c r="C85">
        <v>75.47</v>
      </c>
      <c r="D85">
        <v>5</v>
      </c>
      <c r="E85">
        <v>1962.22</v>
      </c>
      <c r="F85" s="1">
        <v>38029</v>
      </c>
      <c r="G85" t="s">
        <v>26</v>
      </c>
      <c r="H85">
        <v>4</v>
      </c>
      <c r="I85">
        <v>12</v>
      </c>
      <c r="J85">
        <v>2004</v>
      </c>
      <c r="K85" t="s">
        <v>198</v>
      </c>
      <c r="L85">
        <v>136</v>
      </c>
      <c r="M85" t="s">
        <v>358</v>
      </c>
      <c r="N85" t="s">
        <v>190</v>
      </c>
      <c r="O85" t="s">
        <v>191</v>
      </c>
      <c r="P85" t="s">
        <v>192</v>
      </c>
      <c r="R85" t="s">
        <v>193</v>
      </c>
      <c r="T85">
        <v>28034</v>
      </c>
      <c r="U85" t="s">
        <v>194</v>
      </c>
      <c r="V85" t="s">
        <v>43</v>
      </c>
      <c r="W85" t="s">
        <v>195</v>
      </c>
      <c r="X85" t="s">
        <v>196</v>
      </c>
      <c r="Y85" t="s">
        <v>37</v>
      </c>
    </row>
    <row r="86" spans="1:25" x14ac:dyDescent="0.3">
      <c r="A86">
        <v>10359</v>
      </c>
      <c r="B86">
        <v>48</v>
      </c>
      <c r="C86">
        <v>54.68</v>
      </c>
      <c r="D86">
        <v>6</v>
      </c>
      <c r="E86">
        <v>2624.64</v>
      </c>
      <c r="F86" t="s">
        <v>438</v>
      </c>
      <c r="G86" t="s">
        <v>26</v>
      </c>
      <c r="H86">
        <v>4</v>
      </c>
      <c r="I86">
        <v>12</v>
      </c>
      <c r="J86">
        <v>2004</v>
      </c>
      <c r="K86" t="s">
        <v>198</v>
      </c>
      <c r="L86">
        <v>136</v>
      </c>
      <c r="M86" t="s">
        <v>358</v>
      </c>
      <c r="N86" t="s">
        <v>38</v>
      </c>
      <c r="O86" t="s">
        <v>39</v>
      </c>
      <c r="P86" t="s">
        <v>40</v>
      </c>
      <c r="R86" t="s">
        <v>41</v>
      </c>
      <c r="T86">
        <v>51100</v>
      </c>
      <c r="U86" t="s">
        <v>42</v>
      </c>
      <c r="V86" t="s">
        <v>43</v>
      </c>
      <c r="W86" t="s">
        <v>44</v>
      </c>
      <c r="X86" t="s">
        <v>45</v>
      </c>
      <c r="Y86" t="s">
        <v>37</v>
      </c>
    </row>
    <row r="87" spans="1:25" x14ac:dyDescent="0.3">
      <c r="A87">
        <v>10373</v>
      </c>
      <c r="B87">
        <v>39</v>
      </c>
      <c r="C87">
        <v>100</v>
      </c>
      <c r="D87">
        <v>3</v>
      </c>
      <c r="E87">
        <v>4046.25</v>
      </c>
      <c r="F87" t="s">
        <v>439</v>
      </c>
      <c r="G87" t="s">
        <v>26</v>
      </c>
      <c r="H87">
        <v>1</v>
      </c>
      <c r="I87">
        <v>1</v>
      </c>
      <c r="J87">
        <v>2005</v>
      </c>
      <c r="K87" t="s">
        <v>198</v>
      </c>
      <c r="L87">
        <v>136</v>
      </c>
      <c r="M87" t="s">
        <v>358</v>
      </c>
      <c r="N87" t="s">
        <v>440</v>
      </c>
      <c r="O87" t="s">
        <v>441</v>
      </c>
      <c r="P87" t="s">
        <v>442</v>
      </c>
      <c r="R87" t="s">
        <v>443</v>
      </c>
      <c r="T87">
        <v>90110</v>
      </c>
      <c r="U87" t="s">
        <v>141</v>
      </c>
      <c r="V87" t="s">
        <v>43</v>
      </c>
      <c r="W87" t="s">
        <v>444</v>
      </c>
      <c r="X87" t="s">
        <v>445</v>
      </c>
      <c r="Y87" t="s">
        <v>52</v>
      </c>
    </row>
    <row r="88" spans="1:25" x14ac:dyDescent="0.3">
      <c r="A88">
        <v>10384</v>
      </c>
      <c r="B88">
        <v>34</v>
      </c>
      <c r="C88">
        <v>100</v>
      </c>
      <c r="D88">
        <v>4</v>
      </c>
      <c r="E88">
        <v>4846.7</v>
      </c>
      <c r="F88" t="s">
        <v>446</v>
      </c>
      <c r="G88" t="s">
        <v>26</v>
      </c>
      <c r="H88">
        <v>1</v>
      </c>
      <c r="I88">
        <v>2</v>
      </c>
      <c r="J88">
        <v>2005</v>
      </c>
      <c r="K88" t="s">
        <v>198</v>
      </c>
      <c r="L88">
        <v>136</v>
      </c>
      <c r="M88" t="s">
        <v>358</v>
      </c>
      <c r="N88" t="s">
        <v>60</v>
      </c>
      <c r="O88">
        <v>6505551386</v>
      </c>
      <c r="P88" t="s">
        <v>61</v>
      </c>
      <c r="R88" t="s">
        <v>62</v>
      </c>
      <c r="S88" t="s">
        <v>57</v>
      </c>
      <c r="U88" t="s">
        <v>33</v>
      </c>
      <c r="V88" t="s">
        <v>34</v>
      </c>
      <c r="W88" t="s">
        <v>63</v>
      </c>
      <c r="X88" t="s">
        <v>59</v>
      </c>
      <c r="Y88" t="s">
        <v>52</v>
      </c>
    </row>
    <row r="89" spans="1:25" x14ac:dyDescent="0.3">
      <c r="A89">
        <v>10395</v>
      </c>
      <c r="B89">
        <v>32</v>
      </c>
      <c r="C89">
        <v>100</v>
      </c>
      <c r="D89">
        <v>2</v>
      </c>
      <c r="E89">
        <v>3370.56</v>
      </c>
      <c r="F89" t="s">
        <v>447</v>
      </c>
      <c r="G89" t="s">
        <v>26</v>
      </c>
      <c r="H89">
        <v>1</v>
      </c>
      <c r="I89">
        <v>3</v>
      </c>
      <c r="J89">
        <v>2005</v>
      </c>
      <c r="K89" t="s">
        <v>198</v>
      </c>
      <c r="L89">
        <v>136</v>
      </c>
      <c r="M89" t="s">
        <v>358</v>
      </c>
      <c r="N89" t="s">
        <v>46</v>
      </c>
      <c r="O89" t="s">
        <v>47</v>
      </c>
      <c r="P89" t="s">
        <v>48</v>
      </c>
      <c r="R89" t="s">
        <v>49</v>
      </c>
      <c r="T89">
        <v>75508</v>
      </c>
      <c r="U89" t="s">
        <v>42</v>
      </c>
      <c r="V89" t="s">
        <v>43</v>
      </c>
      <c r="W89" t="s">
        <v>50</v>
      </c>
      <c r="X89" t="s">
        <v>51</v>
      </c>
      <c r="Y89" t="s">
        <v>52</v>
      </c>
    </row>
    <row r="90" spans="1:25" x14ac:dyDescent="0.3">
      <c r="A90">
        <v>10400</v>
      </c>
      <c r="B90">
        <v>64</v>
      </c>
      <c r="C90">
        <v>100</v>
      </c>
      <c r="D90">
        <v>9</v>
      </c>
      <c r="E90">
        <v>9661.44</v>
      </c>
      <c r="F90" s="1">
        <v>38356</v>
      </c>
      <c r="G90" t="s">
        <v>26</v>
      </c>
      <c r="H90">
        <v>2</v>
      </c>
      <c r="I90">
        <v>4</v>
      </c>
      <c r="J90">
        <v>2005</v>
      </c>
      <c r="K90" t="s">
        <v>198</v>
      </c>
      <c r="L90">
        <v>136</v>
      </c>
      <c r="M90" t="s">
        <v>358</v>
      </c>
      <c r="N90" t="s">
        <v>448</v>
      </c>
      <c r="O90">
        <v>4085553659</v>
      </c>
      <c r="P90" t="s">
        <v>449</v>
      </c>
      <c r="R90" t="s">
        <v>450</v>
      </c>
      <c r="S90" t="s">
        <v>57</v>
      </c>
      <c r="T90">
        <v>94217</v>
      </c>
      <c r="U90" t="s">
        <v>33</v>
      </c>
      <c r="V90" t="s">
        <v>34</v>
      </c>
      <c r="W90" t="s">
        <v>108</v>
      </c>
      <c r="X90" t="s">
        <v>451</v>
      </c>
      <c r="Y90" t="s">
        <v>165</v>
      </c>
    </row>
    <row r="91" spans="1:25" x14ac:dyDescent="0.3">
      <c r="A91">
        <v>10414</v>
      </c>
      <c r="B91">
        <v>19</v>
      </c>
      <c r="C91">
        <v>100</v>
      </c>
      <c r="D91">
        <v>3</v>
      </c>
      <c r="E91">
        <v>2764.88</v>
      </c>
      <c r="F91" s="1">
        <v>38508</v>
      </c>
      <c r="G91" t="s">
        <v>452</v>
      </c>
      <c r="H91">
        <v>2</v>
      </c>
      <c r="I91">
        <v>5</v>
      </c>
      <c r="J91">
        <v>2005</v>
      </c>
      <c r="K91" t="s">
        <v>198</v>
      </c>
      <c r="L91">
        <v>136</v>
      </c>
      <c r="M91" t="s">
        <v>358</v>
      </c>
      <c r="N91" t="s">
        <v>424</v>
      </c>
      <c r="O91">
        <v>6175559555</v>
      </c>
      <c r="P91" t="s">
        <v>425</v>
      </c>
      <c r="R91" t="s">
        <v>426</v>
      </c>
      <c r="S91" t="s">
        <v>133</v>
      </c>
      <c r="T91">
        <v>51003</v>
      </c>
      <c r="U91" t="s">
        <v>33</v>
      </c>
      <c r="V91" t="s">
        <v>34</v>
      </c>
      <c r="W91" t="s">
        <v>427</v>
      </c>
      <c r="X91" t="s">
        <v>69</v>
      </c>
      <c r="Y91" t="s">
        <v>37</v>
      </c>
    </row>
    <row r="92" spans="1:25" x14ac:dyDescent="0.3">
      <c r="A92">
        <v>10114</v>
      </c>
      <c r="B92">
        <v>31</v>
      </c>
      <c r="C92">
        <v>100</v>
      </c>
      <c r="D92">
        <v>8</v>
      </c>
      <c r="E92">
        <v>4305.28</v>
      </c>
      <c r="F92" s="1">
        <v>37625</v>
      </c>
      <c r="G92" t="s">
        <v>26</v>
      </c>
      <c r="H92">
        <v>2</v>
      </c>
      <c r="I92">
        <v>4</v>
      </c>
      <c r="J92">
        <v>2003</v>
      </c>
      <c r="K92" t="s">
        <v>198</v>
      </c>
      <c r="L92">
        <v>147</v>
      </c>
      <c r="M92" t="s">
        <v>453</v>
      </c>
      <c r="N92" t="s">
        <v>454</v>
      </c>
      <c r="O92" t="s">
        <v>455</v>
      </c>
      <c r="P92" t="s">
        <v>456</v>
      </c>
      <c r="R92" t="s">
        <v>49</v>
      </c>
      <c r="T92">
        <v>75012</v>
      </c>
      <c r="U92" t="s">
        <v>42</v>
      </c>
      <c r="V92" t="s">
        <v>43</v>
      </c>
      <c r="W92" t="s">
        <v>457</v>
      </c>
      <c r="X92" t="s">
        <v>458</v>
      </c>
      <c r="Y92" t="s">
        <v>52</v>
      </c>
    </row>
    <row r="93" spans="1:25" x14ac:dyDescent="0.3">
      <c r="A93">
        <v>10164</v>
      </c>
      <c r="B93">
        <v>21</v>
      </c>
      <c r="C93">
        <v>100</v>
      </c>
      <c r="D93">
        <v>2</v>
      </c>
      <c r="E93">
        <v>3536.82</v>
      </c>
      <c r="F93" t="s">
        <v>459</v>
      </c>
      <c r="G93" t="s">
        <v>460</v>
      </c>
      <c r="H93">
        <v>4</v>
      </c>
      <c r="I93">
        <v>10</v>
      </c>
      <c r="J93">
        <v>2003</v>
      </c>
      <c r="K93" t="s">
        <v>198</v>
      </c>
      <c r="L93">
        <v>147</v>
      </c>
      <c r="M93" t="s">
        <v>453</v>
      </c>
      <c r="N93" t="s">
        <v>461</v>
      </c>
      <c r="O93" t="s">
        <v>462</v>
      </c>
      <c r="P93" t="s">
        <v>463</v>
      </c>
      <c r="R93" t="s">
        <v>464</v>
      </c>
      <c r="T93">
        <v>8010</v>
      </c>
      <c r="U93" t="s">
        <v>162</v>
      </c>
      <c r="V93" t="s">
        <v>43</v>
      </c>
      <c r="W93" t="s">
        <v>465</v>
      </c>
      <c r="X93" t="s">
        <v>466</v>
      </c>
      <c r="Y93" t="s">
        <v>52</v>
      </c>
    </row>
    <row r="94" spans="1:25" x14ac:dyDescent="0.3">
      <c r="A94">
        <v>10175</v>
      </c>
      <c r="B94">
        <v>33</v>
      </c>
      <c r="C94">
        <v>100</v>
      </c>
      <c r="D94">
        <v>9</v>
      </c>
      <c r="E94">
        <v>5362.83</v>
      </c>
      <c r="F94" s="1">
        <v>37783</v>
      </c>
      <c r="G94" t="s">
        <v>26</v>
      </c>
      <c r="H94">
        <v>4</v>
      </c>
      <c r="I94">
        <v>11</v>
      </c>
      <c r="J94">
        <v>2003</v>
      </c>
      <c r="K94" t="s">
        <v>198</v>
      </c>
      <c r="L94">
        <v>147</v>
      </c>
      <c r="M94" t="s">
        <v>453</v>
      </c>
      <c r="N94" t="s">
        <v>367</v>
      </c>
      <c r="O94" t="s">
        <v>368</v>
      </c>
      <c r="P94" t="s">
        <v>369</v>
      </c>
      <c r="R94" t="s">
        <v>370</v>
      </c>
      <c r="T94" t="s">
        <v>371</v>
      </c>
      <c r="U94" t="s">
        <v>185</v>
      </c>
      <c r="V94" t="s">
        <v>43</v>
      </c>
      <c r="W94" t="s">
        <v>63</v>
      </c>
      <c r="X94" t="s">
        <v>372</v>
      </c>
      <c r="Y94" t="s">
        <v>52</v>
      </c>
    </row>
    <row r="95" spans="1:25" x14ac:dyDescent="0.3">
      <c r="A95">
        <v>10207</v>
      </c>
      <c r="B95">
        <v>31</v>
      </c>
      <c r="C95">
        <v>100</v>
      </c>
      <c r="D95">
        <v>15</v>
      </c>
      <c r="E95">
        <v>4076.19</v>
      </c>
      <c r="F95" s="1">
        <v>37876</v>
      </c>
      <c r="G95" t="s">
        <v>26</v>
      </c>
      <c r="H95">
        <v>4</v>
      </c>
      <c r="I95">
        <v>12</v>
      </c>
      <c r="J95">
        <v>2003</v>
      </c>
      <c r="K95" t="s">
        <v>198</v>
      </c>
      <c r="L95">
        <v>147</v>
      </c>
      <c r="M95" t="s">
        <v>453</v>
      </c>
      <c r="N95" t="s">
        <v>467</v>
      </c>
      <c r="O95">
        <v>6175552555</v>
      </c>
      <c r="P95" t="s">
        <v>468</v>
      </c>
      <c r="R95" t="s">
        <v>426</v>
      </c>
      <c r="S95" t="s">
        <v>133</v>
      </c>
      <c r="T95">
        <v>51003</v>
      </c>
      <c r="U95" t="s">
        <v>33</v>
      </c>
      <c r="V95" t="s">
        <v>34</v>
      </c>
      <c r="W95" t="s">
        <v>469</v>
      </c>
      <c r="X95" t="s">
        <v>305</v>
      </c>
      <c r="Y95" t="s">
        <v>52</v>
      </c>
    </row>
    <row r="96" spans="1:25" x14ac:dyDescent="0.3">
      <c r="A96">
        <v>10217</v>
      </c>
      <c r="B96">
        <v>48</v>
      </c>
      <c r="C96">
        <v>100</v>
      </c>
      <c r="D96">
        <v>4</v>
      </c>
      <c r="E96">
        <v>7020.48</v>
      </c>
      <c r="F96" s="1">
        <v>38079</v>
      </c>
      <c r="G96" t="s">
        <v>26</v>
      </c>
      <c r="H96">
        <v>1</v>
      </c>
      <c r="I96">
        <v>2</v>
      </c>
      <c r="J96">
        <v>2004</v>
      </c>
      <c r="K96" t="s">
        <v>198</v>
      </c>
      <c r="L96">
        <v>147</v>
      </c>
      <c r="M96" t="s">
        <v>453</v>
      </c>
      <c r="N96" t="s">
        <v>470</v>
      </c>
      <c r="O96" t="s">
        <v>471</v>
      </c>
      <c r="P96" t="s">
        <v>472</v>
      </c>
      <c r="Q96" t="s">
        <v>473</v>
      </c>
      <c r="R96" t="s">
        <v>220</v>
      </c>
      <c r="T96">
        <v>69045</v>
      </c>
      <c r="U96" t="s">
        <v>220</v>
      </c>
      <c r="V96" t="s">
        <v>102</v>
      </c>
      <c r="W96" t="s">
        <v>474</v>
      </c>
      <c r="X96" t="s">
        <v>475</v>
      </c>
      <c r="Y96" t="s">
        <v>165</v>
      </c>
    </row>
    <row r="97" spans="1:25" x14ac:dyDescent="0.3">
      <c r="A97">
        <v>10229</v>
      </c>
      <c r="B97">
        <v>50</v>
      </c>
      <c r="C97">
        <v>100</v>
      </c>
      <c r="D97">
        <v>9</v>
      </c>
      <c r="E97">
        <v>6426.5</v>
      </c>
      <c r="F97" s="1">
        <v>38294</v>
      </c>
      <c r="G97" t="s">
        <v>26</v>
      </c>
      <c r="H97">
        <v>1</v>
      </c>
      <c r="I97">
        <v>3</v>
      </c>
      <c r="J97">
        <v>2004</v>
      </c>
      <c r="K97" t="s">
        <v>198</v>
      </c>
      <c r="L97">
        <v>147</v>
      </c>
      <c r="M97" t="s">
        <v>453</v>
      </c>
      <c r="N97" t="s">
        <v>301</v>
      </c>
      <c r="O97">
        <v>4155551450</v>
      </c>
      <c r="P97" t="s">
        <v>302</v>
      </c>
      <c r="R97" t="s">
        <v>303</v>
      </c>
      <c r="S97" t="s">
        <v>57</v>
      </c>
      <c r="T97">
        <v>97562</v>
      </c>
      <c r="U97" t="s">
        <v>33</v>
      </c>
      <c r="V97" t="s">
        <v>34</v>
      </c>
      <c r="W97" t="s">
        <v>304</v>
      </c>
      <c r="X97" t="s">
        <v>305</v>
      </c>
      <c r="Y97" t="s">
        <v>52</v>
      </c>
    </row>
    <row r="98" spans="1:25" x14ac:dyDescent="0.3">
      <c r="A98">
        <v>10259</v>
      </c>
      <c r="B98">
        <v>26</v>
      </c>
      <c r="C98">
        <v>100</v>
      </c>
      <c r="D98">
        <v>12</v>
      </c>
      <c r="E98">
        <v>4033.38</v>
      </c>
      <c r="F98" t="s">
        <v>271</v>
      </c>
      <c r="G98" t="s">
        <v>26</v>
      </c>
      <c r="H98">
        <v>2</v>
      </c>
      <c r="I98">
        <v>6</v>
      </c>
      <c r="J98">
        <v>2004</v>
      </c>
      <c r="K98" t="s">
        <v>198</v>
      </c>
      <c r="L98">
        <v>147</v>
      </c>
      <c r="M98" t="s">
        <v>453</v>
      </c>
      <c r="N98" t="s">
        <v>470</v>
      </c>
      <c r="O98" t="s">
        <v>471</v>
      </c>
      <c r="P98" t="s">
        <v>472</v>
      </c>
      <c r="Q98" t="s">
        <v>473</v>
      </c>
      <c r="R98" t="s">
        <v>220</v>
      </c>
      <c r="T98">
        <v>69045</v>
      </c>
      <c r="U98" t="s">
        <v>220</v>
      </c>
      <c r="V98" t="s">
        <v>102</v>
      </c>
      <c r="W98" t="s">
        <v>474</v>
      </c>
      <c r="X98" t="s">
        <v>475</v>
      </c>
      <c r="Y98" t="s">
        <v>52</v>
      </c>
    </row>
    <row r="99" spans="1:25" x14ac:dyDescent="0.3">
      <c r="A99">
        <v>10281</v>
      </c>
      <c r="B99">
        <v>44</v>
      </c>
      <c r="C99">
        <v>100</v>
      </c>
      <c r="D99">
        <v>9</v>
      </c>
      <c r="E99">
        <v>7020.64</v>
      </c>
      <c r="F99" t="s">
        <v>476</v>
      </c>
      <c r="G99" t="s">
        <v>26</v>
      </c>
      <c r="H99">
        <v>3</v>
      </c>
      <c r="I99">
        <v>8</v>
      </c>
      <c r="J99">
        <v>2004</v>
      </c>
      <c r="K99" t="s">
        <v>198</v>
      </c>
      <c r="L99">
        <v>147</v>
      </c>
      <c r="M99" t="s">
        <v>453</v>
      </c>
      <c r="N99" t="s">
        <v>151</v>
      </c>
      <c r="O99">
        <v>2155551555</v>
      </c>
      <c r="P99" t="s">
        <v>152</v>
      </c>
      <c r="R99" t="s">
        <v>153</v>
      </c>
      <c r="S99" t="s">
        <v>154</v>
      </c>
      <c r="T99">
        <v>70267</v>
      </c>
      <c r="U99" t="s">
        <v>33</v>
      </c>
      <c r="V99" t="s">
        <v>34</v>
      </c>
      <c r="W99" t="s">
        <v>35</v>
      </c>
      <c r="X99" t="s">
        <v>155</v>
      </c>
      <c r="Y99" t="s">
        <v>165</v>
      </c>
    </row>
    <row r="100" spans="1:25" x14ac:dyDescent="0.3">
      <c r="A100">
        <v>10305</v>
      </c>
      <c r="B100">
        <v>38</v>
      </c>
      <c r="C100">
        <v>100</v>
      </c>
      <c r="D100">
        <v>13</v>
      </c>
      <c r="E100">
        <v>6680.78</v>
      </c>
      <c r="F100" t="s">
        <v>477</v>
      </c>
      <c r="G100" t="s">
        <v>26</v>
      </c>
      <c r="H100">
        <v>4</v>
      </c>
      <c r="I100">
        <v>10</v>
      </c>
      <c r="J100">
        <v>2004</v>
      </c>
      <c r="K100" t="s">
        <v>198</v>
      </c>
      <c r="L100">
        <v>147</v>
      </c>
      <c r="M100" t="s">
        <v>453</v>
      </c>
      <c r="N100" t="s">
        <v>130</v>
      </c>
      <c r="O100">
        <v>6175558555</v>
      </c>
      <c r="P100" t="s">
        <v>131</v>
      </c>
      <c r="R100" t="s">
        <v>132</v>
      </c>
      <c r="S100" t="s">
        <v>133</v>
      </c>
      <c r="T100">
        <v>51247</v>
      </c>
      <c r="U100" t="s">
        <v>33</v>
      </c>
      <c r="V100" t="s">
        <v>34</v>
      </c>
      <c r="W100" t="s">
        <v>134</v>
      </c>
      <c r="X100" t="s">
        <v>135</v>
      </c>
      <c r="Y100" t="s">
        <v>52</v>
      </c>
    </row>
    <row r="101" spans="1:25" x14ac:dyDescent="0.3">
      <c r="A101">
        <v>10313</v>
      </c>
      <c r="B101">
        <v>40</v>
      </c>
      <c r="C101">
        <v>100</v>
      </c>
      <c r="D101">
        <v>7</v>
      </c>
      <c r="E101">
        <v>6678</v>
      </c>
      <c r="F101" t="s">
        <v>478</v>
      </c>
      <c r="G101" t="s">
        <v>26</v>
      </c>
      <c r="H101">
        <v>4</v>
      </c>
      <c r="I101">
        <v>10</v>
      </c>
      <c r="J101">
        <v>2004</v>
      </c>
      <c r="K101" t="s">
        <v>198</v>
      </c>
      <c r="L101">
        <v>147</v>
      </c>
      <c r="M101" t="s">
        <v>453</v>
      </c>
      <c r="N101" t="s">
        <v>249</v>
      </c>
      <c r="O101" t="s">
        <v>250</v>
      </c>
      <c r="P101" t="s">
        <v>251</v>
      </c>
      <c r="R101" t="s">
        <v>252</v>
      </c>
      <c r="S101" t="s">
        <v>253</v>
      </c>
      <c r="T101" t="s">
        <v>254</v>
      </c>
      <c r="U101" t="s">
        <v>255</v>
      </c>
      <c r="V101" t="s">
        <v>34</v>
      </c>
      <c r="W101" t="s">
        <v>256</v>
      </c>
      <c r="X101" t="s">
        <v>257</v>
      </c>
      <c r="Y101" t="s">
        <v>52</v>
      </c>
    </row>
    <row r="102" spans="1:25" x14ac:dyDescent="0.3">
      <c r="A102">
        <v>10334</v>
      </c>
      <c r="B102">
        <v>26</v>
      </c>
      <c r="C102">
        <v>100</v>
      </c>
      <c r="D102">
        <v>2</v>
      </c>
      <c r="E102">
        <v>3188.12</v>
      </c>
      <c r="F102" t="s">
        <v>479</v>
      </c>
      <c r="G102" t="s">
        <v>452</v>
      </c>
      <c r="H102">
        <v>4</v>
      </c>
      <c r="I102">
        <v>11</v>
      </c>
      <c r="J102">
        <v>2004</v>
      </c>
      <c r="K102" t="s">
        <v>198</v>
      </c>
      <c r="L102">
        <v>147</v>
      </c>
      <c r="M102" t="s">
        <v>453</v>
      </c>
      <c r="N102" t="s">
        <v>201</v>
      </c>
      <c r="O102" t="s">
        <v>202</v>
      </c>
      <c r="P102" t="s">
        <v>203</v>
      </c>
      <c r="R102" t="s">
        <v>204</v>
      </c>
      <c r="T102" t="s">
        <v>205</v>
      </c>
      <c r="U102" t="s">
        <v>206</v>
      </c>
      <c r="V102" t="s">
        <v>43</v>
      </c>
      <c r="W102" t="s">
        <v>207</v>
      </c>
      <c r="X102" t="s">
        <v>208</v>
      </c>
      <c r="Y102" t="s">
        <v>52</v>
      </c>
    </row>
    <row r="103" spans="1:25" x14ac:dyDescent="0.3">
      <c r="A103">
        <v>10370</v>
      </c>
      <c r="B103">
        <v>35</v>
      </c>
      <c r="C103">
        <v>65.63</v>
      </c>
      <c r="D103">
        <v>4</v>
      </c>
      <c r="E103">
        <v>2297.0500000000002</v>
      </c>
      <c r="F103" t="s">
        <v>312</v>
      </c>
      <c r="G103" t="s">
        <v>26</v>
      </c>
      <c r="H103">
        <v>1</v>
      </c>
      <c r="I103">
        <v>1</v>
      </c>
      <c r="J103">
        <v>2005</v>
      </c>
      <c r="K103" t="s">
        <v>198</v>
      </c>
      <c r="L103">
        <v>147</v>
      </c>
      <c r="M103" t="s">
        <v>453</v>
      </c>
      <c r="N103" t="s">
        <v>318</v>
      </c>
      <c r="O103" t="s">
        <v>319</v>
      </c>
      <c r="P103" t="s">
        <v>320</v>
      </c>
      <c r="Q103" t="s">
        <v>321</v>
      </c>
      <c r="R103" t="s">
        <v>322</v>
      </c>
      <c r="S103" t="s">
        <v>172</v>
      </c>
      <c r="T103">
        <v>2060</v>
      </c>
      <c r="U103" t="s">
        <v>101</v>
      </c>
      <c r="V103" t="s">
        <v>102</v>
      </c>
      <c r="W103" t="s">
        <v>323</v>
      </c>
      <c r="X103" t="s">
        <v>324</v>
      </c>
      <c r="Y103" t="s">
        <v>37</v>
      </c>
    </row>
    <row r="104" spans="1:25" x14ac:dyDescent="0.3">
      <c r="A104">
        <v>10425</v>
      </c>
      <c r="B104">
        <v>38</v>
      </c>
      <c r="C104">
        <v>100</v>
      </c>
      <c r="D104">
        <v>12</v>
      </c>
      <c r="E104">
        <v>5894.94</v>
      </c>
      <c r="F104" t="s">
        <v>333</v>
      </c>
      <c r="G104" t="s">
        <v>334</v>
      </c>
      <c r="H104">
        <v>2</v>
      </c>
      <c r="I104">
        <v>5</v>
      </c>
      <c r="J104">
        <v>2005</v>
      </c>
      <c r="K104" t="s">
        <v>198</v>
      </c>
      <c r="L104">
        <v>147</v>
      </c>
      <c r="M104" t="s">
        <v>453</v>
      </c>
      <c r="N104" t="s">
        <v>123</v>
      </c>
      <c r="O104" t="s">
        <v>124</v>
      </c>
      <c r="P104" t="s">
        <v>125</v>
      </c>
      <c r="R104" t="s">
        <v>126</v>
      </c>
      <c r="T104">
        <v>44000</v>
      </c>
      <c r="U104" t="s">
        <v>42</v>
      </c>
      <c r="V104" t="s">
        <v>43</v>
      </c>
      <c r="W104" t="s">
        <v>127</v>
      </c>
      <c r="X104" t="s">
        <v>128</v>
      </c>
      <c r="Y104" t="s">
        <v>52</v>
      </c>
    </row>
    <row r="105" spans="1:25" x14ac:dyDescent="0.3">
      <c r="A105">
        <v>10108</v>
      </c>
      <c r="B105">
        <v>33</v>
      </c>
      <c r="C105">
        <v>100</v>
      </c>
      <c r="D105">
        <v>6</v>
      </c>
      <c r="E105">
        <v>5265.15</v>
      </c>
      <c r="F105" s="1">
        <v>37683</v>
      </c>
      <c r="G105" t="s">
        <v>26</v>
      </c>
      <c r="H105">
        <v>1</v>
      </c>
      <c r="I105">
        <v>3</v>
      </c>
      <c r="J105">
        <v>2003</v>
      </c>
      <c r="K105" t="s">
        <v>198</v>
      </c>
      <c r="L105">
        <v>194</v>
      </c>
      <c r="M105" t="s">
        <v>480</v>
      </c>
      <c r="N105" t="s">
        <v>481</v>
      </c>
      <c r="O105" t="s">
        <v>482</v>
      </c>
      <c r="P105" t="s">
        <v>483</v>
      </c>
      <c r="R105" t="s">
        <v>484</v>
      </c>
      <c r="T105" t="s">
        <v>485</v>
      </c>
      <c r="U105" t="s">
        <v>486</v>
      </c>
      <c r="V105" t="s">
        <v>221</v>
      </c>
      <c r="W105" t="s">
        <v>487</v>
      </c>
      <c r="X105" t="s">
        <v>488</v>
      </c>
      <c r="Y105" t="s">
        <v>52</v>
      </c>
    </row>
    <row r="106" spans="1:25" x14ac:dyDescent="0.3">
      <c r="A106">
        <v>10122</v>
      </c>
      <c r="B106">
        <v>42</v>
      </c>
      <c r="C106">
        <v>100</v>
      </c>
      <c r="D106">
        <v>10</v>
      </c>
      <c r="E106">
        <v>7599.9</v>
      </c>
      <c r="F106" s="1">
        <v>37838</v>
      </c>
      <c r="G106" t="s">
        <v>26</v>
      </c>
      <c r="H106">
        <v>2</v>
      </c>
      <c r="I106">
        <v>5</v>
      </c>
      <c r="J106">
        <v>2003</v>
      </c>
      <c r="K106" t="s">
        <v>198</v>
      </c>
      <c r="L106">
        <v>194</v>
      </c>
      <c r="M106" t="s">
        <v>480</v>
      </c>
      <c r="N106" t="s">
        <v>489</v>
      </c>
      <c r="O106" t="s">
        <v>490</v>
      </c>
      <c r="P106" t="s">
        <v>491</v>
      </c>
      <c r="R106" t="s">
        <v>492</v>
      </c>
      <c r="T106">
        <v>13008</v>
      </c>
      <c r="U106" t="s">
        <v>42</v>
      </c>
      <c r="V106" t="s">
        <v>43</v>
      </c>
      <c r="W106" t="s">
        <v>493</v>
      </c>
      <c r="X106" t="s">
        <v>494</v>
      </c>
      <c r="Y106" t="s">
        <v>165</v>
      </c>
    </row>
    <row r="107" spans="1:25" x14ac:dyDescent="0.3">
      <c r="A107">
        <v>10135</v>
      </c>
      <c r="B107">
        <v>42</v>
      </c>
      <c r="C107">
        <v>100</v>
      </c>
      <c r="D107">
        <v>7</v>
      </c>
      <c r="E107">
        <v>8008.56</v>
      </c>
      <c r="F107" s="1">
        <v>37659</v>
      </c>
      <c r="G107" t="s">
        <v>26</v>
      </c>
      <c r="H107">
        <v>3</v>
      </c>
      <c r="I107">
        <v>7</v>
      </c>
      <c r="J107">
        <v>2003</v>
      </c>
      <c r="K107" t="s">
        <v>198</v>
      </c>
      <c r="L107">
        <v>194</v>
      </c>
      <c r="M107" t="s">
        <v>480</v>
      </c>
      <c r="N107" t="s">
        <v>301</v>
      </c>
      <c r="O107">
        <v>4155551450</v>
      </c>
      <c r="P107" t="s">
        <v>302</v>
      </c>
      <c r="R107" t="s">
        <v>303</v>
      </c>
      <c r="S107" t="s">
        <v>57</v>
      </c>
      <c r="T107">
        <v>97562</v>
      </c>
      <c r="U107" t="s">
        <v>33</v>
      </c>
      <c r="V107" t="s">
        <v>34</v>
      </c>
      <c r="W107" t="s">
        <v>304</v>
      </c>
      <c r="X107" t="s">
        <v>305</v>
      </c>
      <c r="Y107" t="s">
        <v>165</v>
      </c>
    </row>
    <row r="108" spans="1:25" x14ac:dyDescent="0.3">
      <c r="A108">
        <v>10147</v>
      </c>
      <c r="B108">
        <v>48</v>
      </c>
      <c r="C108">
        <v>100</v>
      </c>
      <c r="D108">
        <v>7</v>
      </c>
      <c r="E108">
        <v>9245.76</v>
      </c>
      <c r="F108" s="1">
        <v>37750</v>
      </c>
      <c r="G108" t="s">
        <v>26</v>
      </c>
      <c r="H108">
        <v>3</v>
      </c>
      <c r="I108">
        <v>9</v>
      </c>
      <c r="J108">
        <v>2003</v>
      </c>
      <c r="K108" t="s">
        <v>198</v>
      </c>
      <c r="L108">
        <v>194</v>
      </c>
      <c r="M108" t="s">
        <v>480</v>
      </c>
      <c r="N108" t="s">
        <v>313</v>
      </c>
      <c r="O108">
        <v>6175558555</v>
      </c>
      <c r="P108" t="s">
        <v>314</v>
      </c>
      <c r="R108" t="s">
        <v>315</v>
      </c>
      <c r="S108" t="s">
        <v>133</v>
      </c>
      <c r="T108">
        <v>58339</v>
      </c>
      <c r="U108" t="s">
        <v>33</v>
      </c>
      <c r="V108" t="s">
        <v>34</v>
      </c>
      <c r="W108" t="s">
        <v>304</v>
      </c>
      <c r="X108" t="s">
        <v>316</v>
      </c>
      <c r="Y108" t="s">
        <v>165</v>
      </c>
    </row>
    <row r="109" spans="1:25" x14ac:dyDescent="0.3">
      <c r="A109">
        <v>10169</v>
      </c>
      <c r="B109">
        <v>30</v>
      </c>
      <c r="C109">
        <v>100</v>
      </c>
      <c r="D109">
        <v>2</v>
      </c>
      <c r="E109">
        <v>5019.8999999999996</v>
      </c>
      <c r="F109" s="1">
        <v>37722</v>
      </c>
      <c r="G109" t="s">
        <v>26</v>
      </c>
      <c r="H109">
        <v>4</v>
      </c>
      <c r="I109">
        <v>11</v>
      </c>
      <c r="J109">
        <v>2003</v>
      </c>
      <c r="K109" t="s">
        <v>198</v>
      </c>
      <c r="L109">
        <v>194</v>
      </c>
      <c r="M109" t="s">
        <v>480</v>
      </c>
      <c r="N109" t="s">
        <v>318</v>
      </c>
      <c r="O109" t="s">
        <v>319</v>
      </c>
      <c r="P109" t="s">
        <v>320</v>
      </c>
      <c r="Q109" t="s">
        <v>321</v>
      </c>
      <c r="R109" t="s">
        <v>322</v>
      </c>
      <c r="S109" t="s">
        <v>172</v>
      </c>
      <c r="T109">
        <v>2060</v>
      </c>
      <c r="U109" t="s">
        <v>101</v>
      </c>
      <c r="V109" t="s">
        <v>102</v>
      </c>
      <c r="W109" t="s">
        <v>323</v>
      </c>
      <c r="X109" t="s">
        <v>324</v>
      </c>
      <c r="Y109" t="s">
        <v>52</v>
      </c>
    </row>
    <row r="110" spans="1:25" x14ac:dyDescent="0.3">
      <c r="A110">
        <v>10181</v>
      </c>
      <c r="B110">
        <v>27</v>
      </c>
      <c r="C110">
        <v>100</v>
      </c>
      <c r="D110">
        <v>14</v>
      </c>
      <c r="E110">
        <v>5411.07</v>
      </c>
      <c r="F110" s="1">
        <v>37966</v>
      </c>
      <c r="G110" t="s">
        <v>26</v>
      </c>
      <c r="H110">
        <v>4</v>
      </c>
      <c r="I110">
        <v>11</v>
      </c>
      <c r="J110">
        <v>2003</v>
      </c>
      <c r="K110" t="s">
        <v>198</v>
      </c>
      <c r="L110">
        <v>194</v>
      </c>
      <c r="M110" t="s">
        <v>480</v>
      </c>
      <c r="N110" t="s">
        <v>77</v>
      </c>
      <c r="O110" t="s">
        <v>78</v>
      </c>
      <c r="P110" t="s">
        <v>79</v>
      </c>
      <c r="R110" t="s">
        <v>80</v>
      </c>
      <c r="T110" t="s">
        <v>81</v>
      </c>
      <c r="U110" t="s">
        <v>82</v>
      </c>
      <c r="V110" t="s">
        <v>43</v>
      </c>
      <c r="W110" t="s">
        <v>83</v>
      </c>
      <c r="X110" t="s">
        <v>84</v>
      </c>
      <c r="Y110" t="s">
        <v>52</v>
      </c>
    </row>
    <row r="111" spans="1:25" x14ac:dyDescent="0.3">
      <c r="A111">
        <v>10191</v>
      </c>
      <c r="B111">
        <v>21</v>
      </c>
      <c r="C111">
        <v>100</v>
      </c>
      <c r="D111">
        <v>3</v>
      </c>
      <c r="E111">
        <v>3840.9</v>
      </c>
      <c r="F111" t="s">
        <v>495</v>
      </c>
      <c r="G111" t="s">
        <v>26</v>
      </c>
      <c r="H111">
        <v>4</v>
      </c>
      <c r="I111">
        <v>11</v>
      </c>
      <c r="J111">
        <v>2003</v>
      </c>
      <c r="K111" t="s">
        <v>198</v>
      </c>
      <c r="L111">
        <v>194</v>
      </c>
      <c r="M111" t="s">
        <v>480</v>
      </c>
      <c r="N111" t="s">
        <v>496</v>
      </c>
      <c r="O111" t="s">
        <v>497</v>
      </c>
      <c r="P111" t="s">
        <v>498</v>
      </c>
      <c r="R111" t="s">
        <v>499</v>
      </c>
      <c r="T111">
        <v>50739</v>
      </c>
      <c r="U111" t="s">
        <v>500</v>
      </c>
      <c r="V111" t="s">
        <v>43</v>
      </c>
      <c r="W111" t="s">
        <v>501</v>
      </c>
      <c r="X111" t="s">
        <v>502</v>
      </c>
      <c r="Y111" t="s">
        <v>52</v>
      </c>
    </row>
    <row r="112" spans="1:25" x14ac:dyDescent="0.3">
      <c r="A112">
        <v>10203</v>
      </c>
      <c r="B112">
        <v>20</v>
      </c>
      <c r="C112">
        <v>100</v>
      </c>
      <c r="D112">
        <v>8</v>
      </c>
      <c r="E112">
        <v>3930.4</v>
      </c>
      <c r="F112" s="1">
        <v>37664</v>
      </c>
      <c r="G112" t="s">
        <v>26</v>
      </c>
      <c r="H112">
        <v>4</v>
      </c>
      <c r="I112">
        <v>12</v>
      </c>
      <c r="J112">
        <v>2003</v>
      </c>
      <c r="K112" t="s">
        <v>198</v>
      </c>
      <c r="L112">
        <v>194</v>
      </c>
      <c r="M112" t="s">
        <v>480</v>
      </c>
      <c r="N112" t="s">
        <v>190</v>
      </c>
      <c r="O112" t="s">
        <v>191</v>
      </c>
      <c r="P112" t="s">
        <v>192</v>
      </c>
      <c r="R112" t="s">
        <v>193</v>
      </c>
      <c r="T112">
        <v>28034</v>
      </c>
      <c r="U112" t="s">
        <v>194</v>
      </c>
      <c r="V112" t="s">
        <v>43</v>
      </c>
      <c r="W112" t="s">
        <v>195</v>
      </c>
      <c r="X112" t="s">
        <v>196</v>
      </c>
      <c r="Y112" t="s">
        <v>52</v>
      </c>
    </row>
    <row r="113" spans="1:25" x14ac:dyDescent="0.3">
      <c r="A113">
        <v>10225</v>
      </c>
      <c r="B113">
        <v>27</v>
      </c>
      <c r="C113">
        <v>100</v>
      </c>
      <c r="D113">
        <v>9</v>
      </c>
      <c r="E113">
        <v>4517.91</v>
      </c>
      <c r="F113" t="s">
        <v>503</v>
      </c>
      <c r="G113" t="s">
        <v>26</v>
      </c>
      <c r="H113">
        <v>1</v>
      </c>
      <c r="I113">
        <v>2</v>
      </c>
      <c r="J113">
        <v>2004</v>
      </c>
      <c r="K113" t="s">
        <v>198</v>
      </c>
      <c r="L113">
        <v>194</v>
      </c>
      <c r="M113" t="s">
        <v>480</v>
      </c>
      <c r="N113" t="s">
        <v>504</v>
      </c>
      <c r="O113" t="s">
        <v>505</v>
      </c>
      <c r="P113" t="s">
        <v>506</v>
      </c>
      <c r="R113" t="s">
        <v>507</v>
      </c>
      <c r="T113">
        <v>1203</v>
      </c>
      <c r="U113" t="s">
        <v>508</v>
      </c>
      <c r="V113" t="s">
        <v>43</v>
      </c>
      <c r="W113" t="s">
        <v>509</v>
      </c>
      <c r="X113" t="s">
        <v>109</v>
      </c>
      <c r="Y113" t="s">
        <v>52</v>
      </c>
    </row>
    <row r="114" spans="1:25" x14ac:dyDescent="0.3">
      <c r="A114">
        <v>10238</v>
      </c>
      <c r="B114">
        <v>28</v>
      </c>
      <c r="C114">
        <v>100</v>
      </c>
      <c r="D114">
        <v>3</v>
      </c>
      <c r="E114">
        <v>5774.72</v>
      </c>
      <c r="F114" s="1">
        <v>38234</v>
      </c>
      <c r="G114" t="s">
        <v>26</v>
      </c>
      <c r="H114">
        <v>2</v>
      </c>
      <c r="I114">
        <v>4</v>
      </c>
      <c r="J114">
        <v>2004</v>
      </c>
      <c r="K114" t="s">
        <v>198</v>
      </c>
      <c r="L114">
        <v>194</v>
      </c>
      <c r="M114" t="s">
        <v>480</v>
      </c>
      <c r="N114" t="s">
        <v>359</v>
      </c>
      <c r="O114" t="s">
        <v>360</v>
      </c>
      <c r="P114" t="s">
        <v>361</v>
      </c>
      <c r="R114" t="s">
        <v>362</v>
      </c>
      <c r="T114">
        <v>1734</v>
      </c>
      <c r="U114" t="s">
        <v>363</v>
      </c>
      <c r="V114" t="s">
        <v>43</v>
      </c>
      <c r="W114" t="s">
        <v>364</v>
      </c>
      <c r="X114" t="s">
        <v>365</v>
      </c>
      <c r="Y114" t="s">
        <v>52</v>
      </c>
    </row>
    <row r="115" spans="1:25" x14ac:dyDescent="0.3">
      <c r="A115">
        <v>10253</v>
      </c>
      <c r="B115">
        <v>24</v>
      </c>
      <c r="C115">
        <v>100</v>
      </c>
      <c r="D115">
        <v>13</v>
      </c>
      <c r="E115">
        <v>3922.56</v>
      </c>
      <c r="F115" s="1">
        <v>37992</v>
      </c>
      <c r="G115" t="s">
        <v>378</v>
      </c>
      <c r="H115">
        <v>2</v>
      </c>
      <c r="I115">
        <v>6</v>
      </c>
      <c r="J115">
        <v>2004</v>
      </c>
      <c r="K115" t="s">
        <v>198</v>
      </c>
      <c r="L115">
        <v>194</v>
      </c>
      <c r="M115" t="s">
        <v>480</v>
      </c>
      <c r="N115" t="s">
        <v>180</v>
      </c>
      <c r="O115" t="s">
        <v>181</v>
      </c>
      <c r="P115" t="s">
        <v>182</v>
      </c>
      <c r="R115" t="s">
        <v>183</v>
      </c>
      <c r="T115" t="s">
        <v>184</v>
      </c>
      <c r="U115" t="s">
        <v>185</v>
      </c>
      <c r="V115" t="s">
        <v>43</v>
      </c>
      <c r="W115" t="s">
        <v>186</v>
      </c>
      <c r="X115" t="s">
        <v>187</v>
      </c>
      <c r="Y115" t="s">
        <v>52</v>
      </c>
    </row>
    <row r="116" spans="1:25" x14ac:dyDescent="0.3">
      <c r="A116">
        <v>10266</v>
      </c>
      <c r="B116">
        <v>44</v>
      </c>
      <c r="C116">
        <v>100</v>
      </c>
      <c r="D116">
        <v>14</v>
      </c>
      <c r="E116">
        <v>9160.36</v>
      </c>
      <c r="F116" s="1">
        <v>38145</v>
      </c>
      <c r="G116" t="s">
        <v>26</v>
      </c>
      <c r="H116">
        <v>3</v>
      </c>
      <c r="I116">
        <v>7</v>
      </c>
      <c r="J116">
        <v>2004</v>
      </c>
      <c r="K116" t="s">
        <v>198</v>
      </c>
      <c r="L116">
        <v>194</v>
      </c>
      <c r="M116" t="s">
        <v>480</v>
      </c>
      <c r="N116" t="s">
        <v>510</v>
      </c>
      <c r="O116" t="s">
        <v>511</v>
      </c>
      <c r="P116" t="s">
        <v>512</v>
      </c>
      <c r="R116" t="s">
        <v>513</v>
      </c>
      <c r="T116">
        <v>42100</v>
      </c>
      <c r="U116" t="s">
        <v>286</v>
      </c>
      <c r="V116" t="s">
        <v>43</v>
      </c>
      <c r="W116" t="s">
        <v>514</v>
      </c>
      <c r="X116" t="s">
        <v>515</v>
      </c>
      <c r="Y116" t="s">
        <v>165</v>
      </c>
    </row>
    <row r="117" spans="1:25" x14ac:dyDescent="0.3">
      <c r="A117">
        <v>10276</v>
      </c>
      <c r="B117">
        <v>50</v>
      </c>
      <c r="C117">
        <v>100</v>
      </c>
      <c r="D117">
        <v>3</v>
      </c>
      <c r="E117">
        <v>9631</v>
      </c>
      <c r="F117" s="1">
        <v>38025</v>
      </c>
      <c r="G117" t="s">
        <v>26</v>
      </c>
      <c r="H117">
        <v>3</v>
      </c>
      <c r="I117">
        <v>8</v>
      </c>
      <c r="J117">
        <v>2004</v>
      </c>
      <c r="K117" t="s">
        <v>198</v>
      </c>
      <c r="L117">
        <v>194</v>
      </c>
      <c r="M117" t="s">
        <v>480</v>
      </c>
      <c r="N117" t="s">
        <v>516</v>
      </c>
      <c r="O117">
        <v>6175557555</v>
      </c>
      <c r="P117" t="s">
        <v>517</v>
      </c>
      <c r="R117" t="s">
        <v>315</v>
      </c>
      <c r="S117" t="s">
        <v>133</v>
      </c>
      <c r="T117">
        <v>58339</v>
      </c>
      <c r="U117" t="s">
        <v>33</v>
      </c>
      <c r="V117" t="s">
        <v>34</v>
      </c>
      <c r="W117" t="s">
        <v>518</v>
      </c>
      <c r="X117" t="s">
        <v>519</v>
      </c>
      <c r="Y117" t="s">
        <v>165</v>
      </c>
    </row>
    <row r="118" spans="1:25" x14ac:dyDescent="0.3">
      <c r="A118">
        <v>10287</v>
      </c>
      <c r="B118">
        <v>21</v>
      </c>
      <c r="C118">
        <v>100</v>
      </c>
      <c r="D118">
        <v>12</v>
      </c>
      <c r="E118">
        <v>3432.24</v>
      </c>
      <c r="F118" t="s">
        <v>520</v>
      </c>
      <c r="G118" t="s">
        <v>26</v>
      </c>
      <c r="H118">
        <v>3</v>
      </c>
      <c r="I118">
        <v>8</v>
      </c>
      <c r="J118">
        <v>2004</v>
      </c>
      <c r="K118" t="s">
        <v>198</v>
      </c>
      <c r="L118">
        <v>194</v>
      </c>
      <c r="M118" t="s">
        <v>480</v>
      </c>
      <c r="N118" t="s">
        <v>504</v>
      </c>
      <c r="O118" t="s">
        <v>505</v>
      </c>
      <c r="P118" t="s">
        <v>506</v>
      </c>
      <c r="R118" t="s">
        <v>507</v>
      </c>
      <c r="T118">
        <v>1203</v>
      </c>
      <c r="U118" t="s">
        <v>508</v>
      </c>
      <c r="V118" t="s">
        <v>43</v>
      </c>
      <c r="W118" t="s">
        <v>509</v>
      </c>
      <c r="X118" t="s">
        <v>109</v>
      </c>
      <c r="Y118" t="s">
        <v>52</v>
      </c>
    </row>
    <row r="119" spans="1:25" x14ac:dyDescent="0.3">
      <c r="A119">
        <v>10300</v>
      </c>
      <c r="B119">
        <v>33</v>
      </c>
      <c r="C119">
        <v>100</v>
      </c>
      <c r="D119">
        <v>5</v>
      </c>
      <c r="E119">
        <v>5521.89</v>
      </c>
      <c r="F119" s="1">
        <v>37721</v>
      </c>
      <c r="G119" t="s">
        <v>26</v>
      </c>
      <c r="H119">
        <v>4</v>
      </c>
      <c r="I119">
        <v>10</v>
      </c>
      <c r="J119">
        <v>2003</v>
      </c>
      <c r="K119" t="s">
        <v>198</v>
      </c>
      <c r="L119">
        <v>194</v>
      </c>
      <c r="M119" t="s">
        <v>480</v>
      </c>
      <c r="N119" t="s">
        <v>521</v>
      </c>
      <c r="O119" t="s">
        <v>522</v>
      </c>
      <c r="P119" t="s">
        <v>523</v>
      </c>
      <c r="R119" t="s">
        <v>524</v>
      </c>
      <c r="T119">
        <v>60528</v>
      </c>
      <c r="U119" t="s">
        <v>500</v>
      </c>
      <c r="V119" t="s">
        <v>43</v>
      </c>
      <c r="W119" t="s">
        <v>525</v>
      </c>
      <c r="X119" t="s">
        <v>466</v>
      </c>
      <c r="Y119" t="s">
        <v>52</v>
      </c>
    </row>
    <row r="120" spans="1:25" x14ac:dyDescent="0.3">
      <c r="A120">
        <v>10310</v>
      </c>
      <c r="B120">
        <v>33</v>
      </c>
      <c r="C120">
        <v>100</v>
      </c>
      <c r="D120">
        <v>10</v>
      </c>
      <c r="E120">
        <v>6934.62</v>
      </c>
      <c r="F120" t="s">
        <v>526</v>
      </c>
      <c r="G120" t="s">
        <v>26</v>
      </c>
      <c r="H120">
        <v>4</v>
      </c>
      <c r="I120">
        <v>10</v>
      </c>
      <c r="J120">
        <v>2004</v>
      </c>
      <c r="K120" t="s">
        <v>198</v>
      </c>
      <c r="L120">
        <v>194</v>
      </c>
      <c r="M120" t="s">
        <v>480</v>
      </c>
      <c r="N120" t="s">
        <v>496</v>
      </c>
      <c r="O120" t="s">
        <v>497</v>
      </c>
      <c r="P120" t="s">
        <v>498</v>
      </c>
      <c r="R120" t="s">
        <v>499</v>
      </c>
      <c r="T120">
        <v>50739</v>
      </c>
      <c r="U120" t="s">
        <v>500</v>
      </c>
      <c r="V120" t="s">
        <v>43</v>
      </c>
      <c r="W120" t="s">
        <v>501</v>
      </c>
      <c r="X120" t="s">
        <v>502</v>
      </c>
      <c r="Y120" t="s">
        <v>52</v>
      </c>
    </row>
    <row r="121" spans="1:25" x14ac:dyDescent="0.3">
      <c r="A121">
        <v>10320</v>
      </c>
      <c r="B121">
        <v>31</v>
      </c>
      <c r="C121">
        <v>100</v>
      </c>
      <c r="D121">
        <v>3</v>
      </c>
      <c r="E121">
        <v>6876.11</v>
      </c>
      <c r="F121" s="1">
        <v>38057</v>
      </c>
      <c r="G121" t="s">
        <v>26</v>
      </c>
      <c r="H121">
        <v>4</v>
      </c>
      <c r="I121">
        <v>11</v>
      </c>
      <c r="J121">
        <v>2004</v>
      </c>
      <c r="K121" t="s">
        <v>198</v>
      </c>
      <c r="L121">
        <v>194</v>
      </c>
      <c r="M121" t="s">
        <v>480</v>
      </c>
      <c r="N121" t="s">
        <v>201</v>
      </c>
      <c r="O121" t="s">
        <v>202</v>
      </c>
      <c r="P121" t="s">
        <v>203</v>
      </c>
      <c r="R121" t="s">
        <v>204</v>
      </c>
      <c r="T121" t="s">
        <v>205</v>
      </c>
      <c r="U121" t="s">
        <v>206</v>
      </c>
      <c r="V121" t="s">
        <v>43</v>
      </c>
      <c r="W121" t="s">
        <v>207</v>
      </c>
      <c r="X121" t="s">
        <v>208</v>
      </c>
      <c r="Y121" t="s">
        <v>52</v>
      </c>
    </row>
    <row r="122" spans="1:25" x14ac:dyDescent="0.3">
      <c r="A122">
        <v>10363</v>
      </c>
      <c r="B122">
        <v>33</v>
      </c>
      <c r="C122">
        <v>85.39</v>
      </c>
      <c r="D122">
        <v>3</v>
      </c>
      <c r="E122">
        <v>2817.87</v>
      </c>
      <c r="F122" s="1">
        <v>38504</v>
      </c>
      <c r="G122" t="s">
        <v>26</v>
      </c>
      <c r="H122">
        <v>1</v>
      </c>
      <c r="I122">
        <v>1</v>
      </c>
      <c r="J122">
        <v>2005</v>
      </c>
      <c r="K122" t="s">
        <v>198</v>
      </c>
      <c r="L122">
        <v>194</v>
      </c>
      <c r="M122" t="s">
        <v>480</v>
      </c>
      <c r="N122" t="s">
        <v>527</v>
      </c>
      <c r="O122" t="s">
        <v>528</v>
      </c>
      <c r="P122" t="s">
        <v>529</v>
      </c>
      <c r="R122" t="s">
        <v>530</v>
      </c>
      <c r="T122" t="s">
        <v>531</v>
      </c>
      <c r="U122" t="s">
        <v>141</v>
      </c>
      <c r="V122" t="s">
        <v>43</v>
      </c>
      <c r="W122" t="s">
        <v>532</v>
      </c>
      <c r="X122" t="s">
        <v>533</v>
      </c>
      <c r="Y122" t="s">
        <v>37</v>
      </c>
    </row>
    <row r="123" spans="1:25" x14ac:dyDescent="0.3">
      <c r="A123">
        <v>10389</v>
      </c>
      <c r="B123">
        <v>26</v>
      </c>
      <c r="C123">
        <v>99.04</v>
      </c>
      <c r="D123">
        <v>4</v>
      </c>
      <c r="E123">
        <v>2575.04</v>
      </c>
      <c r="F123" s="1">
        <v>38414</v>
      </c>
      <c r="G123" t="s">
        <v>26</v>
      </c>
      <c r="H123">
        <v>1</v>
      </c>
      <c r="I123">
        <v>3</v>
      </c>
      <c r="J123">
        <v>2005</v>
      </c>
      <c r="K123" t="s">
        <v>198</v>
      </c>
      <c r="L123">
        <v>194</v>
      </c>
      <c r="M123" t="s">
        <v>480</v>
      </c>
      <c r="N123" t="s">
        <v>289</v>
      </c>
      <c r="O123" t="s">
        <v>290</v>
      </c>
      <c r="P123" t="s">
        <v>291</v>
      </c>
      <c r="R123" t="s">
        <v>292</v>
      </c>
      <c r="T123" t="s">
        <v>293</v>
      </c>
      <c r="U123" t="s">
        <v>206</v>
      </c>
      <c r="V123" t="s">
        <v>43</v>
      </c>
      <c r="W123" t="s">
        <v>294</v>
      </c>
      <c r="X123" t="s">
        <v>228</v>
      </c>
      <c r="Y123" t="s">
        <v>37</v>
      </c>
    </row>
    <row r="124" spans="1:25" x14ac:dyDescent="0.3">
      <c r="A124">
        <v>10419</v>
      </c>
      <c r="B124">
        <v>12</v>
      </c>
      <c r="C124">
        <v>100</v>
      </c>
      <c r="D124">
        <v>13</v>
      </c>
      <c r="E124">
        <v>1961.28</v>
      </c>
      <c r="F124" t="s">
        <v>534</v>
      </c>
      <c r="G124" t="s">
        <v>26</v>
      </c>
      <c r="H124">
        <v>2</v>
      </c>
      <c r="I124">
        <v>5</v>
      </c>
      <c r="J124">
        <v>2005</v>
      </c>
      <c r="K124" t="s">
        <v>198</v>
      </c>
      <c r="L124">
        <v>194</v>
      </c>
      <c r="M124" t="s">
        <v>480</v>
      </c>
      <c r="N124" t="s">
        <v>158</v>
      </c>
      <c r="O124" t="s">
        <v>159</v>
      </c>
      <c r="P124" t="s">
        <v>160</v>
      </c>
      <c r="R124" t="s">
        <v>161</v>
      </c>
      <c r="T124">
        <v>5020</v>
      </c>
      <c r="U124" t="s">
        <v>162</v>
      </c>
      <c r="V124" t="s">
        <v>43</v>
      </c>
      <c r="W124" t="s">
        <v>163</v>
      </c>
      <c r="X124" t="s">
        <v>164</v>
      </c>
      <c r="Y124" t="s">
        <v>37</v>
      </c>
    </row>
    <row r="125" spans="1:25" x14ac:dyDescent="0.3">
      <c r="A125">
        <v>10117</v>
      </c>
      <c r="B125">
        <v>33</v>
      </c>
      <c r="C125">
        <v>100</v>
      </c>
      <c r="D125">
        <v>9</v>
      </c>
      <c r="E125">
        <v>6034.38</v>
      </c>
      <c r="F125" t="s">
        <v>535</v>
      </c>
      <c r="G125" t="s">
        <v>26</v>
      </c>
      <c r="H125">
        <v>2</v>
      </c>
      <c r="I125">
        <v>4</v>
      </c>
      <c r="J125">
        <v>2003</v>
      </c>
      <c r="K125" t="s">
        <v>198</v>
      </c>
      <c r="L125">
        <v>207</v>
      </c>
      <c r="M125" t="s">
        <v>536</v>
      </c>
      <c r="N125" t="s">
        <v>217</v>
      </c>
      <c r="O125" t="s">
        <v>218</v>
      </c>
      <c r="P125" t="s">
        <v>219</v>
      </c>
      <c r="R125" t="s">
        <v>220</v>
      </c>
      <c r="T125">
        <v>79903</v>
      </c>
      <c r="U125" t="s">
        <v>220</v>
      </c>
      <c r="V125" t="s">
        <v>221</v>
      </c>
      <c r="W125" t="s">
        <v>222</v>
      </c>
      <c r="X125" t="s">
        <v>223</v>
      </c>
      <c r="Y125" t="s">
        <v>52</v>
      </c>
    </row>
    <row r="126" spans="1:25" x14ac:dyDescent="0.3">
      <c r="A126">
        <v>10127</v>
      </c>
      <c r="B126">
        <v>46</v>
      </c>
      <c r="C126">
        <v>100</v>
      </c>
      <c r="D126">
        <v>2</v>
      </c>
      <c r="E126">
        <v>11279.2</v>
      </c>
      <c r="F126" s="1">
        <v>37686</v>
      </c>
      <c r="G126" t="s">
        <v>26</v>
      </c>
      <c r="H126">
        <v>2</v>
      </c>
      <c r="I126">
        <v>6</v>
      </c>
      <c r="J126">
        <v>2003</v>
      </c>
      <c r="K126" t="s">
        <v>198</v>
      </c>
      <c r="L126">
        <v>207</v>
      </c>
      <c r="M126" t="s">
        <v>536</v>
      </c>
      <c r="N126" t="s">
        <v>537</v>
      </c>
      <c r="O126">
        <v>2125557413</v>
      </c>
      <c r="P126" t="s">
        <v>538</v>
      </c>
      <c r="Q126" t="s">
        <v>539</v>
      </c>
      <c r="R126" t="s">
        <v>31</v>
      </c>
      <c r="S126" t="s">
        <v>32</v>
      </c>
      <c r="T126">
        <v>10022</v>
      </c>
      <c r="U126" t="s">
        <v>33</v>
      </c>
      <c r="V126" t="s">
        <v>34</v>
      </c>
      <c r="W126" t="s">
        <v>58</v>
      </c>
      <c r="X126" t="s">
        <v>540</v>
      </c>
      <c r="Y126" t="s">
        <v>165</v>
      </c>
    </row>
    <row r="127" spans="1:25" x14ac:dyDescent="0.3">
      <c r="A127">
        <v>10142</v>
      </c>
      <c r="B127">
        <v>33</v>
      </c>
      <c r="C127">
        <v>100</v>
      </c>
      <c r="D127">
        <v>12</v>
      </c>
      <c r="E127">
        <v>8023.29</v>
      </c>
      <c r="F127" s="1">
        <v>37841</v>
      </c>
      <c r="G127" t="s">
        <v>26</v>
      </c>
      <c r="H127">
        <v>3</v>
      </c>
      <c r="I127">
        <v>8</v>
      </c>
      <c r="J127">
        <v>2003</v>
      </c>
      <c r="K127" t="s">
        <v>198</v>
      </c>
      <c r="L127">
        <v>207</v>
      </c>
      <c r="M127" t="s">
        <v>536</v>
      </c>
      <c r="N127" t="s">
        <v>301</v>
      </c>
      <c r="O127">
        <v>4155551450</v>
      </c>
      <c r="P127" t="s">
        <v>302</v>
      </c>
      <c r="R127" t="s">
        <v>303</v>
      </c>
      <c r="S127" t="s">
        <v>57</v>
      </c>
      <c r="T127">
        <v>97562</v>
      </c>
      <c r="U127" t="s">
        <v>33</v>
      </c>
      <c r="V127" t="s">
        <v>34</v>
      </c>
      <c r="W127" t="s">
        <v>304</v>
      </c>
      <c r="X127" t="s">
        <v>305</v>
      </c>
      <c r="Y127" t="s">
        <v>165</v>
      </c>
    </row>
    <row r="128" spans="1:25" x14ac:dyDescent="0.3">
      <c r="A128">
        <v>10153</v>
      </c>
      <c r="B128">
        <v>20</v>
      </c>
      <c r="C128">
        <v>100</v>
      </c>
      <c r="D128">
        <v>11</v>
      </c>
      <c r="E128">
        <v>4904</v>
      </c>
      <c r="F128" t="s">
        <v>541</v>
      </c>
      <c r="G128" t="s">
        <v>26</v>
      </c>
      <c r="H128">
        <v>3</v>
      </c>
      <c r="I128">
        <v>9</v>
      </c>
      <c r="J128">
        <v>2003</v>
      </c>
      <c r="K128" t="s">
        <v>198</v>
      </c>
      <c r="L128">
        <v>207</v>
      </c>
      <c r="M128" t="s">
        <v>536</v>
      </c>
      <c r="N128" t="s">
        <v>190</v>
      </c>
      <c r="O128" t="s">
        <v>191</v>
      </c>
      <c r="P128" t="s">
        <v>192</v>
      </c>
      <c r="R128" t="s">
        <v>193</v>
      </c>
      <c r="T128">
        <v>28034</v>
      </c>
      <c r="U128" t="s">
        <v>194</v>
      </c>
      <c r="V128" t="s">
        <v>43</v>
      </c>
      <c r="W128" t="s">
        <v>195</v>
      </c>
      <c r="X128" t="s">
        <v>196</v>
      </c>
      <c r="Y128" t="s">
        <v>52</v>
      </c>
    </row>
    <row r="129" spans="1:25" x14ac:dyDescent="0.3">
      <c r="A129">
        <v>10165</v>
      </c>
      <c r="B129">
        <v>44</v>
      </c>
      <c r="C129">
        <v>100</v>
      </c>
      <c r="D129">
        <v>3</v>
      </c>
      <c r="E129">
        <v>8594.52</v>
      </c>
      <c r="F129" t="s">
        <v>542</v>
      </c>
      <c r="G129" t="s">
        <v>26</v>
      </c>
      <c r="H129">
        <v>4</v>
      </c>
      <c r="I129">
        <v>10</v>
      </c>
      <c r="J129">
        <v>2003</v>
      </c>
      <c r="K129" t="s">
        <v>198</v>
      </c>
      <c r="L129">
        <v>207</v>
      </c>
      <c r="M129" t="s">
        <v>536</v>
      </c>
      <c r="N129" t="s">
        <v>217</v>
      </c>
      <c r="O129" t="s">
        <v>218</v>
      </c>
      <c r="P129" t="s">
        <v>219</v>
      </c>
      <c r="R129" t="s">
        <v>220</v>
      </c>
      <c r="T129">
        <v>79903</v>
      </c>
      <c r="U129" t="s">
        <v>220</v>
      </c>
      <c r="V129" t="s">
        <v>221</v>
      </c>
      <c r="W129" t="s">
        <v>222</v>
      </c>
      <c r="X129" t="s">
        <v>223</v>
      </c>
      <c r="Y129" t="s">
        <v>165</v>
      </c>
    </row>
    <row r="130" spans="1:25" x14ac:dyDescent="0.3">
      <c r="A130">
        <v>10176</v>
      </c>
      <c r="B130">
        <v>33</v>
      </c>
      <c r="C130">
        <v>100</v>
      </c>
      <c r="D130">
        <v>2</v>
      </c>
      <c r="E130">
        <v>7474.5</v>
      </c>
      <c r="F130" s="1">
        <v>37783</v>
      </c>
      <c r="G130" t="s">
        <v>26</v>
      </c>
      <c r="H130">
        <v>4</v>
      </c>
      <c r="I130">
        <v>11</v>
      </c>
      <c r="J130">
        <v>2003</v>
      </c>
      <c r="K130" t="s">
        <v>198</v>
      </c>
      <c r="L130">
        <v>207</v>
      </c>
      <c r="M130" t="s">
        <v>536</v>
      </c>
      <c r="N130" t="s">
        <v>510</v>
      </c>
      <c r="O130" t="s">
        <v>511</v>
      </c>
      <c r="P130" t="s">
        <v>512</v>
      </c>
      <c r="R130" t="s">
        <v>513</v>
      </c>
      <c r="T130">
        <v>42100</v>
      </c>
      <c r="U130" t="s">
        <v>286</v>
      </c>
      <c r="V130" t="s">
        <v>43</v>
      </c>
      <c r="W130" t="s">
        <v>514</v>
      </c>
      <c r="X130" t="s">
        <v>515</v>
      </c>
      <c r="Y130" t="s">
        <v>165</v>
      </c>
    </row>
    <row r="131" spans="1:25" x14ac:dyDescent="0.3">
      <c r="A131">
        <v>10185</v>
      </c>
      <c r="B131">
        <v>21</v>
      </c>
      <c r="C131">
        <v>100</v>
      </c>
      <c r="D131">
        <v>13</v>
      </c>
      <c r="E131">
        <v>3883.74</v>
      </c>
      <c r="F131" t="s">
        <v>385</v>
      </c>
      <c r="G131" t="s">
        <v>26</v>
      </c>
      <c r="H131">
        <v>4</v>
      </c>
      <c r="I131">
        <v>11</v>
      </c>
      <c r="J131">
        <v>2003</v>
      </c>
      <c r="K131" t="s">
        <v>198</v>
      </c>
      <c r="L131">
        <v>207</v>
      </c>
      <c r="M131" t="s">
        <v>536</v>
      </c>
      <c r="N131" t="s">
        <v>373</v>
      </c>
      <c r="O131">
        <v>5085559555</v>
      </c>
      <c r="P131" t="s">
        <v>374</v>
      </c>
      <c r="R131" t="s">
        <v>177</v>
      </c>
      <c r="S131" t="s">
        <v>133</v>
      </c>
      <c r="T131">
        <v>50553</v>
      </c>
      <c r="U131" t="s">
        <v>33</v>
      </c>
      <c r="V131" t="s">
        <v>34</v>
      </c>
      <c r="W131" t="s">
        <v>375</v>
      </c>
      <c r="X131" t="s">
        <v>376</v>
      </c>
      <c r="Y131" t="s">
        <v>52</v>
      </c>
    </row>
    <row r="132" spans="1:25" x14ac:dyDescent="0.3">
      <c r="A132">
        <v>10196</v>
      </c>
      <c r="B132">
        <v>47</v>
      </c>
      <c r="C132">
        <v>100</v>
      </c>
      <c r="D132">
        <v>5</v>
      </c>
      <c r="E132">
        <v>8887.7000000000007</v>
      </c>
      <c r="F132" t="s">
        <v>392</v>
      </c>
      <c r="G132" t="s">
        <v>26</v>
      </c>
      <c r="H132">
        <v>4</v>
      </c>
      <c r="I132">
        <v>11</v>
      </c>
      <c r="J132">
        <v>2003</v>
      </c>
      <c r="K132" t="s">
        <v>198</v>
      </c>
      <c r="L132">
        <v>207</v>
      </c>
      <c r="M132" t="s">
        <v>536</v>
      </c>
      <c r="N132" t="s">
        <v>267</v>
      </c>
      <c r="O132">
        <v>2035559545</v>
      </c>
      <c r="P132" t="s">
        <v>268</v>
      </c>
      <c r="R132" t="s">
        <v>269</v>
      </c>
      <c r="S132" t="s">
        <v>120</v>
      </c>
      <c r="T132">
        <v>97823</v>
      </c>
      <c r="U132" t="s">
        <v>33</v>
      </c>
      <c r="V132" t="s">
        <v>34</v>
      </c>
      <c r="W132" t="s">
        <v>87</v>
      </c>
      <c r="X132" t="s">
        <v>270</v>
      </c>
      <c r="Y132" t="s">
        <v>165</v>
      </c>
    </row>
    <row r="133" spans="1:25" x14ac:dyDescent="0.3">
      <c r="A133">
        <v>10208</v>
      </c>
      <c r="B133">
        <v>46</v>
      </c>
      <c r="C133">
        <v>100</v>
      </c>
      <c r="D133">
        <v>13</v>
      </c>
      <c r="E133">
        <v>8602.92</v>
      </c>
      <c r="F133" s="1">
        <v>38018</v>
      </c>
      <c r="G133" t="s">
        <v>26</v>
      </c>
      <c r="H133">
        <v>1</v>
      </c>
      <c r="I133">
        <v>1</v>
      </c>
      <c r="J133">
        <v>2004</v>
      </c>
      <c r="K133" t="s">
        <v>198</v>
      </c>
      <c r="L133">
        <v>207</v>
      </c>
      <c r="M133" t="s">
        <v>536</v>
      </c>
      <c r="N133" t="s">
        <v>243</v>
      </c>
      <c r="O133" t="s">
        <v>244</v>
      </c>
      <c r="P133" t="s">
        <v>245</v>
      </c>
      <c r="R133" t="s">
        <v>246</v>
      </c>
      <c r="T133">
        <v>69004</v>
      </c>
      <c r="U133" t="s">
        <v>42</v>
      </c>
      <c r="V133" t="s">
        <v>43</v>
      </c>
      <c r="W133" t="s">
        <v>247</v>
      </c>
      <c r="X133" t="s">
        <v>248</v>
      </c>
      <c r="Y133" t="s">
        <v>165</v>
      </c>
    </row>
    <row r="134" spans="1:25" x14ac:dyDescent="0.3">
      <c r="A134">
        <v>10220</v>
      </c>
      <c r="B134">
        <v>32</v>
      </c>
      <c r="C134">
        <v>100</v>
      </c>
      <c r="D134">
        <v>2</v>
      </c>
      <c r="E134">
        <v>7181.44</v>
      </c>
      <c r="F134" s="1">
        <v>38323</v>
      </c>
      <c r="G134" t="s">
        <v>26</v>
      </c>
      <c r="H134">
        <v>1</v>
      </c>
      <c r="I134">
        <v>2</v>
      </c>
      <c r="J134">
        <v>2004</v>
      </c>
      <c r="K134" t="s">
        <v>198</v>
      </c>
      <c r="L134">
        <v>207</v>
      </c>
      <c r="M134" t="s">
        <v>536</v>
      </c>
      <c r="N134" t="s">
        <v>543</v>
      </c>
      <c r="O134" t="s">
        <v>544</v>
      </c>
      <c r="P134" t="s">
        <v>545</v>
      </c>
      <c r="Q134" t="s">
        <v>546</v>
      </c>
      <c r="R134" t="s">
        <v>547</v>
      </c>
      <c r="T134">
        <v>2</v>
      </c>
      <c r="U134" t="s">
        <v>548</v>
      </c>
      <c r="V134" t="s">
        <v>43</v>
      </c>
      <c r="W134" t="s">
        <v>549</v>
      </c>
      <c r="X134" t="s">
        <v>550</v>
      </c>
      <c r="Y134" t="s">
        <v>165</v>
      </c>
    </row>
    <row r="135" spans="1:25" x14ac:dyDescent="0.3">
      <c r="A135">
        <v>10231</v>
      </c>
      <c r="B135">
        <v>42</v>
      </c>
      <c r="C135">
        <v>100</v>
      </c>
      <c r="D135">
        <v>2</v>
      </c>
      <c r="E135">
        <v>8378.58</v>
      </c>
      <c r="F135" t="s">
        <v>551</v>
      </c>
      <c r="G135" t="s">
        <v>26</v>
      </c>
      <c r="H135">
        <v>1</v>
      </c>
      <c r="I135">
        <v>3</v>
      </c>
      <c r="J135">
        <v>2004</v>
      </c>
      <c r="K135" t="s">
        <v>198</v>
      </c>
      <c r="L135">
        <v>207</v>
      </c>
      <c r="M135" t="s">
        <v>536</v>
      </c>
      <c r="N135" t="s">
        <v>552</v>
      </c>
      <c r="O135" t="s">
        <v>553</v>
      </c>
      <c r="P135" t="s">
        <v>554</v>
      </c>
      <c r="R135" t="s">
        <v>193</v>
      </c>
      <c r="T135">
        <v>28023</v>
      </c>
      <c r="U135" t="s">
        <v>194</v>
      </c>
      <c r="V135" t="s">
        <v>43</v>
      </c>
      <c r="W135" t="s">
        <v>555</v>
      </c>
      <c r="X135" t="s">
        <v>556</v>
      </c>
      <c r="Y135" t="s">
        <v>165</v>
      </c>
    </row>
    <row r="136" spans="1:25" x14ac:dyDescent="0.3">
      <c r="A136">
        <v>10247</v>
      </c>
      <c r="B136">
        <v>44</v>
      </c>
      <c r="C136">
        <v>100</v>
      </c>
      <c r="D136">
        <v>2</v>
      </c>
      <c r="E136">
        <v>10606.2</v>
      </c>
      <c r="F136" s="1">
        <v>38112</v>
      </c>
      <c r="G136" t="s">
        <v>26</v>
      </c>
      <c r="H136">
        <v>2</v>
      </c>
      <c r="I136">
        <v>5</v>
      </c>
      <c r="J136">
        <v>2004</v>
      </c>
      <c r="K136" t="s">
        <v>198</v>
      </c>
      <c r="L136">
        <v>207</v>
      </c>
      <c r="M136" t="s">
        <v>536</v>
      </c>
      <c r="N136" t="s">
        <v>527</v>
      </c>
      <c r="O136" t="s">
        <v>528</v>
      </c>
      <c r="P136" t="s">
        <v>529</v>
      </c>
      <c r="R136" t="s">
        <v>530</v>
      </c>
      <c r="T136" t="s">
        <v>531</v>
      </c>
      <c r="U136" t="s">
        <v>141</v>
      </c>
      <c r="V136" t="s">
        <v>43</v>
      </c>
      <c r="W136" t="s">
        <v>532</v>
      </c>
      <c r="X136" t="s">
        <v>533</v>
      </c>
      <c r="Y136" t="s">
        <v>165</v>
      </c>
    </row>
    <row r="137" spans="1:25" x14ac:dyDescent="0.3">
      <c r="A137">
        <v>10272</v>
      </c>
      <c r="B137">
        <v>35</v>
      </c>
      <c r="C137">
        <v>100</v>
      </c>
      <c r="D137">
        <v>2</v>
      </c>
      <c r="E137">
        <v>5818.4</v>
      </c>
      <c r="F137" t="s">
        <v>557</v>
      </c>
      <c r="G137" t="s">
        <v>26</v>
      </c>
      <c r="H137">
        <v>3</v>
      </c>
      <c r="I137">
        <v>7</v>
      </c>
      <c r="J137">
        <v>2004</v>
      </c>
      <c r="K137" t="s">
        <v>198</v>
      </c>
      <c r="L137">
        <v>207</v>
      </c>
      <c r="M137" t="s">
        <v>536</v>
      </c>
      <c r="N137" t="s">
        <v>151</v>
      </c>
      <c r="O137">
        <v>2155551555</v>
      </c>
      <c r="P137" t="s">
        <v>152</v>
      </c>
      <c r="R137" t="s">
        <v>153</v>
      </c>
      <c r="S137" t="s">
        <v>154</v>
      </c>
      <c r="T137">
        <v>70267</v>
      </c>
      <c r="U137" t="s">
        <v>33</v>
      </c>
      <c r="V137" t="s">
        <v>34</v>
      </c>
      <c r="W137" t="s">
        <v>35</v>
      </c>
      <c r="X137" t="s">
        <v>155</v>
      </c>
      <c r="Y137" t="s">
        <v>52</v>
      </c>
    </row>
    <row r="138" spans="1:25" x14ac:dyDescent="0.3">
      <c r="A138">
        <v>10282</v>
      </c>
      <c r="B138">
        <v>41</v>
      </c>
      <c r="C138">
        <v>100</v>
      </c>
      <c r="D138">
        <v>5</v>
      </c>
      <c r="E138">
        <v>7071.27</v>
      </c>
      <c r="F138" t="s">
        <v>417</v>
      </c>
      <c r="G138" t="s">
        <v>26</v>
      </c>
      <c r="H138">
        <v>3</v>
      </c>
      <c r="I138">
        <v>8</v>
      </c>
      <c r="J138">
        <v>2004</v>
      </c>
      <c r="K138" t="s">
        <v>198</v>
      </c>
      <c r="L138">
        <v>207</v>
      </c>
      <c r="M138" t="s">
        <v>536</v>
      </c>
      <c r="N138" t="s">
        <v>301</v>
      </c>
      <c r="O138">
        <v>4155551450</v>
      </c>
      <c r="P138" t="s">
        <v>302</v>
      </c>
      <c r="R138" t="s">
        <v>303</v>
      </c>
      <c r="S138" t="s">
        <v>57</v>
      </c>
      <c r="T138">
        <v>97562</v>
      </c>
      <c r="U138" t="s">
        <v>33</v>
      </c>
      <c r="V138" t="s">
        <v>34</v>
      </c>
      <c r="W138" t="s">
        <v>304</v>
      </c>
      <c r="X138" t="s">
        <v>305</v>
      </c>
      <c r="Y138" t="s">
        <v>165</v>
      </c>
    </row>
    <row r="139" spans="1:25" x14ac:dyDescent="0.3">
      <c r="A139">
        <v>10293</v>
      </c>
      <c r="B139">
        <v>46</v>
      </c>
      <c r="C139">
        <v>100</v>
      </c>
      <c r="D139">
        <v>8</v>
      </c>
      <c r="E139">
        <v>8411.56</v>
      </c>
      <c r="F139" s="1">
        <v>38239</v>
      </c>
      <c r="G139" t="s">
        <v>26</v>
      </c>
      <c r="H139">
        <v>3</v>
      </c>
      <c r="I139">
        <v>9</v>
      </c>
      <c r="J139">
        <v>2004</v>
      </c>
      <c r="K139" t="s">
        <v>198</v>
      </c>
      <c r="L139">
        <v>207</v>
      </c>
      <c r="M139" t="s">
        <v>536</v>
      </c>
      <c r="N139" t="s">
        <v>282</v>
      </c>
      <c r="O139" t="s">
        <v>283</v>
      </c>
      <c r="P139" t="s">
        <v>284</v>
      </c>
      <c r="R139" t="s">
        <v>285</v>
      </c>
      <c r="T139">
        <v>10100</v>
      </c>
      <c r="U139" t="s">
        <v>286</v>
      </c>
      <c r="V139" t="s">
        <v>43</v>
      </c>
      <c r="W139" t="s">
        <v>287</v>
      </c>
      <c r="X139" t="s">
        <v>288</v>
      </c>
      <c r="Y139" t="s">
        <v>165</v>
      </c>
    </row>
    <row r="140" spans="1:25" x14ac:dyDescent="0.3">
      <c r="A140">
        <v>10306</v>
      </c>
      <c r="B140">
        <v>31</v>
      </c>
      <c r="C140">
        <v>100</v>
      </c>
      <c r="D140">
        <v>13</v>
      </c>
      <c r="E140">
        <v>6570.76</v>
      </c>
      <c r="F140" t="s">
        <v>428</v>
      </c>
      <c r="G140" t="s">
        <v>26</v>
      </c>
      <c r="H140">
        <v>4</v>
      </c>
      <c r="I140">
        <v>10</v>
      </c>
      <c r="J140">
        <v>2004</v>
      </c>
      <c r="K140" t="s">
        <v>198</v>
      </c>
      <c r="L140">
        <v>207</v>
      </c>
      <c r="M140" t="s">
        <v>536</v>
      </c>
      <c r="N140" t="s">
        <v>558</v>
      </c>
      <c r="O140" t="s">
        <v>559</v>
      </c>
      <c r="P140" t="s">
        <v>560</v>
      </c>
      <c r="R140" t="s">
        <v>561</v>
      </c>
      <c r="T140" t="s">
        <v>562</v>
      </c>
      <c r="U140" t="s">
        <v>185</v>
      </c>
      <c r="V140" t="s">
        <v>43</v>
      </c>
      <c r="W140" t="s">
        <v>563</v>
      </c>
      <c r="X140" t="s">
        <v>100</v>
      </c>
      <c r="Y140" t="s">
        <v>52</v>
      </c>
    </row>
    <row r="141" spans="1:25" x14ac:dyDescent="0.3">
      <c r="A141">
        <v>10314</v>
      </c>
      <c r="B141">
        <v>38</v>
      </c>
      <c r="C141">
        <v>100</v>
      </c>
      <c r="D141">
        <v>5</v>
      </c>
      <c r="E141">
        <v>7975.44</v>
      </c>
      <c r="F141" t="s">
        <v>478</v>
      </c>
      <c r="G141" t="s">
        <v>26</v>
      </c>
      <c r="H141">
        <v>4</v>
      </c>
      <c r="I141">
        <v>10</v>
      </c>
      <c r="J141">
        <v>2004</v>
      </c>
      <c r="K141" t="s">
        <v>198</v>
      </c>
      <c r="L141">
        <v>207</v>
      </c>
      <c r="M141" t="s">
        <v>536</v>
      </c>
      <c r="N141" t="s">
        <v>564</v>
      </c>
      <c r="O141" t="s">
        <v>565</v>
      </c>
      <c r="P141" t="s">
        <v>566</v>
      </c>
      <c r="R141" t="s">
        <v>567</v>
      </c>
      <c r="T141">
        <v>8200</v>
      </c>
      <c r="U141" t="s">
        <v>363</v>
      </c>
      <c r="V141" t="s">
        <v>43</v>
      </c>
      <c r="W141" t="s">
        <v>568</v>
      </c>
      <c r="X141" t="s">
        <v>569</v>
      </c>
      <c r="Y141" t="s">
        <v>165</v>
      </c>
    </row>
    <row r="142" spans="1:25" x14ac:dyDescent="0.3">
      <c r="A142">
        <v>10336</v>
      </c>
      <c r="B142">
        <v>33</v>
      </c>
      <c r="C142">
        <v>57.22</v>
      </c>
      <c r="D142">
        <v>10</v>
      </c>
      <c r="E142">
        <v>1888.26</v>
      </c>
      <c r="F142" t="s">
        <v>570</v>
      </c>
      <c r="G142" t="s">
        <v>26</v>
      </c>
      <c r="H142">
        <v>4</v>
      </c>
      <c r="I142">
        <v>11</v>
      </c>
      <c r="J142">
        <v>2004</v>
      </c>
      <c r="K142" t="s">
        <v>198</v>
      </c>
      <c r="L142">
        <v>207</v>
      </c>
      <c r="M142" t="s">
        <v>536</v>
      </c>
      <c r="N142" t="s">
        <v>454</v>
      </c>
      <c r="O142" t="s">
        <v>455</v>
      </c>
      <c r="P142" t="s">
        <v>456</v>
      </c>
      <c r="R142" t="s">
        <v>49</v>
      </c>
      <c r="T142">
        <v>75012</v>
      </c>
      <c r="U142" t="s">
        <v>42</v>
      </c>
      <c r="V142" t="s">
        <v>43</v>
      </c>
      <c r="W142" t="s">
        <v>457</v>
      </c>
      <c r="X142" t="s">
        <v>458</v>
      </c>
      <c r="Y142" t="s">
        <v>37</v>
      </c>
    </row>
    <row r="143" spans="1:25" x14ac:dyDescent="0.3">
      <c r="A143">
        <v>10348</v>
      </c>
      <c r="B143">
        <v>48</v>
      </c>
      <c r="C143">
        <v>52.36</v>
      </c>
      <c r="D143">
        <v>8</v>
      </c>
      <c r="E143">
        <v>2513.2800000000002</v>
      </c>
      <c r="F143" s="1">
        <v>37997</v>
      </c>
      <c r="G143" t="s">
        <v>26</v>
      </c>
      <c r="H143">
        <v>4</v>
      </c>
      <c r="I143">
        <v>11</v>
      </c>
      <c r="J143">
        <v>2004</v>
      </c>
      <c r="K143" t="s">
        <v>198</v>
      </c>
      <c r="L143">
        <v>207</v>
      </c>
      <c r="M143" t="s">
        <v>536</v>
      </c>
      <c r="N143" t="s">
        <v>210</v>
      </c>
      <c r="O143" t="s">
        <v>211</v>
      </c>
      <c r="P143" t="s">
        <v>212</v>
      </c>
      <c r="R143" t="s">
        <v>193</v>
      </c>
      <c r="T143">
        <v>28023</v>
      </c>
      <c r="U143" t="s">
        <v>194</v>
      </c>
      <c r="V143" t="s">
        <v>43</v>
      </c>
      <c r="W143" t="s">
        <v>213</v>
      </c>
      <c r="X143" t="s">
        <v>214</v>
      </c>
      <c r="Y143" t="s">
        <v>37</v>
      </c>
    </row>
    <row r="144" spans="1:25" x14ac:dyDescent="0.3">
      <c r="A144">
        <v>10371</v>
      </c>
      <c r="B144">
        <v>32</v>
      </c>
      <c r="C144">
        <v>100</v>
      </c>
      <c r="D144">
        <v>6</v>
      </c>
      <c r="E144">
        <v>3560.64</v>
      </c>
      <c r="F144" t="s">
        <v>571</v>
      </c>
      <c r="G144" t="s">
        <v>26</v>
      </c>
      <c r="H144">
        <v>1</v>
      </c>
      <c r="I144">
        <v>1</v>
      </c>
      <c r="J144">
        <v>2005</v>
      </c>
      <c r="K144" t="s">
        <v>198</v>
      </c>
      <c r="L144">
        <v>207</v>
      </c>
      <c r="M144" t="s">
        <v>536</v>
      </c>
      <c r="N144" t="s">
        <v>301</v>
      </c>
      <c r="O144">
        <v>4155551450</v>
      </c>
      <c r="P144" t="s">
        <v>302</v>
      </c>
      <c r="R144" t="s">
        <v>303</v>
      </c>
      <c r="S144" t="s">
        <v>57</v>
      </c>
      <c r="T144">
        <v>97562</v>
      </c>
      <c r="U144" t="s">
        <v>33</v>
      </c>
      <c r="V144" t="s">
        <v>34</v>
      </c>
      <c r="W144" t="s">
        <v>304</v>
      </c>
      <c r="X144" t="s">
        <v>305</v>
      </c>
      <c r="Y144" t="s">
        <v>52</v>
      </c>
    </row>
    <row r="145" spans="1:25" x14ac:dyDescent="0.3">
      <c r="A145">
        <v>10382</v>
      </c>
      <c r="B145">
        <v>34</v>
      </c>
      <c r="C145">
        <v>100</v>
      </c>
      <c r="D145">
        <v>10</v>
      </c>
      <c r="E145">
        <v>3823.64</v>
      </c>
      <c r="F145" t="s">
        <v>317</v>
      </c>
      <c r="G145" t="s">
        <v>26</v>
      </c>
      <c r="H145">
        <v>1</v>
      </c>
      <c r="I145">
        <v>2</v>
      </c>
      <c r="J145">
        <v>2005</v>
      </c>
      <c r="K145" t="s">
        <v>198</v>
      </c>
      <c r="L145">
        <v>207</v>
      </c>
      <c r="M145" t="s">
        <v>536</v>
      </c>
      <c r="N145" t="s">
        <v>301</v>
      </c>
      <c r="O145">
        <v>4155551450</v>
      </c>
      <c r="P145" t="s">
        <v>302</v>
      </c>
      <c r="R145" t="s">
        <v>303</v>
      </c>
      <c r="S145" t="s">
        <v>57</v>
      </c>
      <c r="T145">
        <v>97562</v>
      </c>
      <c r="U145" t="s">
        <v>33</v>
      </c>
      <c r="V145" t="s">
        <v>34</v>
      </c>
      <c r="W145" t="s">
        <v>304</v>
      </c>
      <c r="X145" t="s">
        <v>305</v>
      </c>
      <c r="Y145" t="s">
        <v>52</v>
      </c>
    </row>
    <row r="146" spans="1:25" x14ac:dyDescent="0.3">
      <c r="A146">
        <v>10413</v>
      </c>
      <c r="B146">
        <v>36</v>
      </c>
      <c r="C146">
        <v>100</v>
      </c>
      <c r="D146">
        <v>2</v>
      </c>
      <c r="E146">
        <v>8677.7999999999993</v>
      </c>
      <c r="F146" s="1">
        <v>38477</v>
      </c>
      <c r="G146" t="s">
        <v>26</v>
      </c>
      <c r="H146">
        <v>2</v>
      </c>
      <c r="I146">
        <v>5</v>
      </c>
      <c r="J146">
        <v>2005</v>
      </c>
      <c r="K146" t="s">
        <v>198</v>
      </c>
      <c r="L146">
        <v>207</v>
      </c>
      <c r="M146" t="s">
        <v>536</v>
      </c>
      <c r="N146" t="s">
        <v>117</v>
      </c>
      <c r="O146">
        <v>2035552570</v>
      </c>
      <c r="P146" t="s">
        <v>118</v>
      </c>
      <c r="R146" t="s">
        <v>119</v>
      </c>
      <c r="S146" t="s">
        <v>120</v>
      </c>
      <c r="T146">
        <v>97562</v>
      </c>
      <c r="U146" t="s">
        <v>33</v>
      </c>
      <c r="V146" t="s">
        <v>34</v>
      </c>
      <c r="W146" t="s">
        <v>121</v>
      </c>
      <c r="X146" t="s">
        <v>59</v>
      </c>
      <c r="Y146" t="s">
        <v>165</v>
      </c>
    </row>
    <row r="147" spans="1:25" x14ac:dyDescent="0.3">
      <c r="A147">
        <v>10113</v>
      </c>
      <c r="B147">
        <v>21</v>
      </c>
      <c r="C147">
        <v>100</v>
      </c>
      <c r="D147">
        <v>2</v>
      </c>
      <c r="E147">
        <v>3415.44</v>
      </c>
      <c r="F147" t="s">
        <v>572</v>
      </c>
      <c r="G147" t="s">
        <v>26</v>
      </c>
      <c r="H147">
        <v>1</v>
      </c>
      <c r="I147">
        <v>3</v>
      </c>
      <c r="J147">
        <v>2003</v>
      </c>
      <c r="K147" t="s">
        <v>573</v>
      </c>
      <c r="L147">
        <v>136</v>
      </c>
      <c r="M147" t="s">
        <v>574</v>
      </c>
      <c r="N147" t="s">
        <v>301</v>
      </c>
      <c r="O147">
        <v>4155551450</v>
      </c>
      <c r="P147" t="s">
        <v>302</v>
      </c>
      <c r="R147" t="s">
        <v>303</v>
      </c>
      <c r="S147" t="s">
        <v>57</v>
      </c>
      <c r="T147">
        <v>97562</v>
      </c>
      <c r="U147" t="s">
        <v>33</v>
      </c>
      <c r="V147" t="s">
        <v>34</v>
      </c>
      <c r="W147" t="s">
        <v>304</v>
      </c>
      <c r="X147" t="s">
        <v>305</v>
      </c>
      <c r="Y147" t="s">
        <v>52</v>
      </c>
    </row>
    <row r="148" spans="1:25" x14ac:dyDescent="0.3">
      <c r="A148">
        <v>10216</v>
      </c>
      <c r="B148">
        <v>43</v>
      </c>
      <c r="C148">
        <v>100</v>
      </c>
      <c r="D148">
        <v>1</v>
      </c>
      <c r="E148">
        <v>5759.42</v>
      </c>
      <c r="F148" s="1">
        <v>38019</v>
      </c>
      <c r="G148" t="s">
        <v>26</v>
      </c>
      <c r="H148">
        <v>1</v>
      </c>
      <c r="I148">
        <v>2</v>
      </c>
      <c r="J148">
        <v>2004</v>
      </c>
      <c r="K148" t="s">
        <v>573</v>
      </c>
      <c r="L148">
        <v>136</v>
      </c>
      <c r="M148" t="s">
        <v>574</v>
      </c>
      <c r="N148" t="s">
        <v>295</v>
      </c>
      <c r="O148" t="s">
        <v>296</v>
      </c>
      <c r="P148" t="s">
        <v>297</v>
      </c>
      <c r="R148" t="s">
        <v>298</v>
      </c>
      <c r="T148">
        <v>78000</v>
      </c>
      <c r="U148" t="s">
        <v>42</v>
      </c>
      <c r="V148" t="s">
        <v>43</v>
      </c>
      <c r="W148" t="s">
        <v>299</v>
      </c>
      <c r="X148" t="s">
        <v>51</v>
      </c>
      <c r="Y148" t="s">
        <v>52</v>
      </c>
    </row>
    <row r="149" spans="1:25" x14ac:dyDescent="0.3">
      <c r="A149">
        <v>10189</v>
      </c>
      <c r="B149">
        <v>28</v>
      </c>
      <c r="C149">
        <v>100</v>
      </c>
      <c r="D149">
        <v>1</v>
      </c>
      <c r="E149">
        <v>4512.4799999999996</v>
      </c>
      <c r="F149" t="s">
        <v>76</v>
      </c>
      <c r="G149" t="s">
        <v>26</v>
      </c>
      <c r="H149">
        <v>4</v>
      </c>
      <c r="I149">
        <v>11</v>
      </c>
      <c r="J149">
        <v>2003</v>
      </c>
      <c r="K149" t="s">
        <v>27</v>
      </c>
      <c r="L149">
        <v>150</v>
      </c>
      <c r="M149" t="s">
        <v>575</v>
      </c>
      <c r="N149" t="s">
        <v>54</v>
      </c>
      <c r="O149">
        <v>6265557265</v>
      </c>
      <c r="P149" t="s">
        <v>55</v>
      </c>
      <c r="R149" t="s">
        <v>56</v>
      </c>
      <c r="S149" t="s">
        <v>57</v>
      </c>
      <c r="T149">
        <v>90003</v>
      </c>
      <c r="U149" t="s">
        <v>33</v>
      </c>
      <c r="V149" t="s">
        <v>34</v>
      </c>
      <c r="W149" t="s">
        <v>58</v>
      </c>
      <c r="X149" t="s">
        <v>59</v>
      </c>
      <c r="Y149" t="s">
        <v>52</v>
      </c>
    </row>
    <row r="150" spans="1:25" x14ac:dyDescent="0.3">
      <c r="A150">
        <v>10224</v>
      </c>
      <c r="B150">
        <v>43</v>
      </c>
      <c r="C150">
        <v>100</v>
      </c>
      <c r="D150">
        <v>6</v>
      </c>
      <c r="E150">
        <v>6087.94</v>
      </c>
      <c r="F150" t="s">
        <v>576</v>
      </c>
      <c r="G150" t="s">
        <v>26</v>
      </c>
      <c r="H150">
        <v>1</v>
      </c>
      <c r="I150">
        <v>2</v>
      </c>
      <c r="J150">
        <v>2004</v>
      </c>
      <c r="K150" t="s">
        <v>27</v>
      </c>
      <c r="L150">
        <v>150</v>
      </c>
      <c r="M150" t="s">
        <v>575</v>
      </c>
      <c r="N150" t="s">
        <v>70</v>
      </c>
      <c r="O150" t="s">
        <v>71</v>
      </c>
      <c r="P150" t="s">
        <v>72</v>
      </c>
      <c r="R150" t="s">
        <v>73</v>
      </c>
      <c r="T150">
        <v>59000</v>
      </c>
      <c r="U150" t="s">
        <v>42</v>
      </c>
      <c r="V150" t="s">
        <v>43</v>
      </c>
      <c r="W150" t="s">
        <v>74</v>
      </c>
      <c r="X150" t="s">
        <v>75</v>
      </c>
      <c r="Y150" t="s">
        <v>52</v>
      </c>
    </row>
    <row r="151" spans="1:25" x14ac:dyDescent="0.3">
      <c r="A151">
        <v>10319</v>
      </c>
      <c r="B151">
        <v>30</v>
      </c>
      <c r="C151">
        <v>100</v>
      </c>
      <c r="D151">
        <v>9</v>
      </c>
      <c r="E151">
        <v>4111.8</v>
      </c>
      <c r="F151" s="1">
        <v>38057</v>
      </c>
      <c r="G151" t="s">
        <v>26</v>
      </c>
      <c r="H151">
        <v>4</v>
      </c>
      <c r="I151">
        <v>11</v>
      </c>
      <c r="J151">
        <v>2004</v>
      </c>
      <c r="K151" t="s">
        <v>27</v>
      </c>
      <c r="L151">
        <v>150</v>
      </c>
      <c r="M151" t="s">
        <v>575</v>
      </c>
      <c r="N151" t="s">
        <v>577</v>
      </c>
      <c r="O151">
        <v>2125551957</v>
      </c>
      <c r="P151" t="s">
        <v>578</v>
      </c>
      <c r="Q151" t="s">
        <v>579</v>
      </c>
      <c r="R151" t="s">
        <v>31</v>
      </c>
      <c r="S151" t="s">
        <v>32</v>
      </c>
      <c r="T151">
        <v>10022</v>
      </c>
      <c r="U151" t="s">
        <v>33</v>
      </c>
      <c r="V151" t="s">
        <v>34</v>
      </c>
      <c r="W151" t="s">
        <v>580</v>
      </c>
      <c r="X151" t="s">
        <v>581</v>
      </c>
      <c r="Y151" t="s">
        <v>52</v>
      </c>
    </row>
    <row r="152" spans="1:25" x14ac:dyDescent="0.3">
      <c r="A152">
        <v>10104</v>
      </c>
      <c r="B152">
        <v>34</v>
      </c>
      <c r="C152">
        <v>100</v>
      </c>
      <c r="D152">
        <v>1</v>
      </c>
      <c r="E152">
        <v>5958.5</v>
      </c>
      <c r="F152" t="s">
        <v>582</v>
      </c>
      <c r="G152" t="s">
        <v>26</v>
      </c>
      <c r="H152">
        <v>1</v>
      </c>
      <c r="I152">
        <v>1</v>
      </c>
      <c r="J152">
        <v>2003</v>
      </c>
      <c r="K152" t="s">
        <v>198</v>
      </c>
      <c r="L152">
        <v>151</v>
      </c>
      <c r="M152" t="s">
        <v>583</v>
      </c>
      <c r="N152" t="s">
        <v>190</v>
      </c>
      <c r="O152" t="s">
        <v>191</v>
      </c>
      <c r="P152" t="s">
        <v>192</v>
      </c>
      <c r="R152" t="s">
        <v>193</v>
      </c>
      <c r="T152">
        <v>28034</v>
      </c>
      <c r="U152" t="s">
        <v>194</v>
      </c>
      <c r="V152" t="s">
        <v>43</v>
      </c>
      <c r="W152" t="s">
        <v>195</v>
      </c>
      <c r="X152" t="s">
        <v>196</v>
      </c>
      <c r="Y152" t="s">
        <v>52</v>
      </c>
    </row>
    <row r="153" spans="1:25" x14ac:dyDescent="0.3">
      <c r="A153">
        <v>10230</v>
      </c>
      <c r="B153">
        <v>43</v>
      </c>
      <c r="C153">
        <v>100</v>
      </c>
      <c r="D153">
        <v>1</v>
      </c>
      <c r="E153">
        <v>7016.31</v>
      </c>
      <c r="F153" t="s">
        <v>584</v>
      </c>
      <c r="G153" t="s">
        <v>26</v>
      </c>
      <c r="H153">
        <v>1</v>
      </c>
      <c r="I153">
        <v>3</v>
      </c>
      <c r="J153">
        <v>2004</v>
      </c>
      <c r="K153" t="s">
        <v>198</v>
      </c>
      <c r="L153">
        <v>151</v>
      </c>
      <c r="M153" t="s">
        <v>583</v>
      </c>
      <c r="N153" t="s">
        <v>521</v>
      </c>
      <c r="O153" t="s">
        <v>522</v>
      </c>
      <c r="P153" t="s">
        <v>523</v>
      </c>
      <c r="R153" t="s">
        <v>524</v>
      </c>
      <c r="T153">
        <v>60528</v>
      </c>
      <c r="U153" t="s">
        <v>500</v>
      </c>
      <c r="V153" t="s">
        <v>43</v>
      </c>
      <c r="W153" t="s">
        <v>525</v>
      </c>
      <c r="X153" t="s">
        <v>466</v>
      </c>
      <c r="Y153" t="s">
        <v>165</v>
      </c>
    </row>
    <row r="154" spans="1:25" x14ac:dyDescent="0.3">
      <c r="A154">
        <v>10324</v>
      </c>
      <c r="B154">
        <v>27</v>
      </c>
      <c r="C154">
        <v>54.33</v>
      </c>
      <c r="D154">
        <v>1</v>
      </c>
      <c r="E154">
        <v>1466.91</v>
      </c>
      <c r="F154" s="1">
        <v>38118</v>
      </c>
      <c r="G154" t="s">
        <v>26</v>
      </c>
      <c r="H154">
        <v>4</v>
      </c>
      <c r="I154">
        <v>11</v>
      </c>
      <c r="J154">
        <v>2004</v>
      </c>
      <c r="K154" t="s">
        <v>198</v>
      </c>
      <c r="L154">
        <v>151</v>
      </c>
      <c r="M154" t="s">
        <v>583</v>
      </c>
      <c r="N154" t="s">
        <v>105</v>
      </c>
      <c r="O154">
        <v>2125551500</v>
      </c>
      <c r="P154" t="s">
        <v>106</v>
      </c>
      <c r="Q154" t="s">
        <v>107</v>
      </c>
      <c r="R154" t="s">
        <v>31</v>
      </c>
      <c r="S154" t="s">
        <v>32</v>
      </c>
      <c r="T154">
        <v>10022</v>
      </c>
      <c r="U154" t="s">
        <v>33</v>
      </c>
      <c r="V154" t="s">
        <v>34</v>
      </c>
      <c r="W154" t="s">
        <v>108</v>
      </c>
      <c r="X154" t="s">
        <v>109</v>
      </c>
      <c r="Y154" t="s">
        <v>37</v>
      </c>
    </row>
    <row r="155" spans="1:25" x14ac:dyDescent="0.3">
      <c r="A155">
        <v>10358</v>
      </c>
      <c r="B155">
        <v>49</v>
      </c>
      <c r="C155">
        <v>55.34</v>
      </c>
      <c r="D155">
        <v>5</v>
      </c>
      <c r="E155">
        <v>2711.66</v>
      </c>
      <c r="F155" s="1">
        <v>38272</v>
      </c>
      <c r="G155" t="s">
        <v>26</v>
      </c>
      <c r="H155">
        <v>4</v>
      </c>
      <c r="I155">
        <v>12</v>
      </c>
      <c r="J155">
        <v>2004</v>
      </c>
      <c r="K155" t="s">
        <v>198</v>
      </c>
      <c r="L155">
        <v>151</v>
      </c>
      <c r="M155" t="s">
        <v>583</v>
      </c>
      <c r="N155" t="s">
        <v>190</v>
      </c>
      <c r="O155" t="s">
        <v>191</v>
      </c>
      <c r="P155" t="s">
        <v>192</v>
      </c>
      <c r="R155" t="s">
        <v>193</v>
      </c>
      <c r="T155">
        <v>28034</v>
      </c>
      <c r="U155" t="s">
        <v>194</v>
      </c>
      <c r="V155" t="s">
        <v>43</v>
      </c>
      <c r="W155" t="s">
        <v>195</v>
      </c>
      <c r="X155" t="s">
        <v>196</v>
      </c>
      <c r="Y155" t="s">
        <v>37</v>
      </c>
    </row>
    <row r="156" spans="1:25" x14ac:dyDescent="0.3">
      <c r="A156">
        <v>10372</v>
      </c>
      <c r="B156">
        <v>40</v>
      </c>
      <c r="C156">
        <v>100</v>
      </c>
      <c r="D156">
        <v>4</v>
      </c>
      <c r="E156">
        <v>5862</v>
      </c>
      <c r="F156" t="s">
        <v>585</v>
      </c>
      <c r="G156" t="s">
        <v>26</v>
      </c>
      <c r="H156">
        <v>1</v>
      </c>
      <c r="I156">
        <v>1</v>
      </c>
      <c r="J156">
        <v>2005</v>
      </c>
      <c r="K156" t="s">
        <v>198</v>
      </c>
      <c r="L156">
        <v>151</v>
      </c>
      <c r="M156" t="s">
        <v>583</v>
      </c>
      <c r="N156" t="s">
        <v>272</v>
      </c>
      <c r="O156" t="s">
        <v>273</v>
      </c>
      <c r="P156" t="s">
        <v>274</v>
      </c>
      <c r="R156" t="s">
        <v>275</v>
      </c>
      <c r="S156" t="s">
        <v>276</v>
      </c>
      <c r="T156" t="s">
        <v>277</v>
      </c>
      <c r="U156" t="s">
        <v>221</v>
      </c>
      <c r="V156" t="s">
        <v>221</v>
      </c>
      <c r="W156" t="s">
        <v>278</v>
      </c>
      <c r="X156" t="s">
        <v>279</v>
      </c>
      <c r="Y156" t="s">
        <v>52</v>
      </c>
    </row>
    <row r="157" spans="1:25" x14ac:dyDescent="0.3">
      <c r="A157">
        <v>10160</v>
      </c>
      <c r="B157">
        <v>46</v>
      </c>
      <c r="C157">
        <v>100</v>
      </c>
      <c r="D157">
        <v>6</v>
      </c>
      <c r="E157">
        <v>5294.14</v>
      </c>
      <c r="F157" s="1">
        <v>37935</v>
      </c>
      <c r="G157" t="s">
        <v>26</v>
      </c>
      <c r="H157">
        <v>4</v>
      </c>
      <c r="I157">
        <v>10</v>
      </c>
      <c r="J157">
        <v>2003</v>
      </c>
      <c r="K157" t="s">
        <v>198</v>
      </c>
      <c r="L157">
        <v>117</v>
      </c>
      <c r="M157" t="s">
        <v>586</v>
      </c>
      <c r="N157" t="s">
        <v>399</v>
      </c>
      <c r="O157">
        <v>2155554369</v>
      </c>
      <c r="P157" t="s">
        <v>400</v>
      </c>
      <c r="R157" t="s">
        <v>401</v>
      </c>
      <c r="S157" t="s">
        <v>57</v>
      </c>
      <c r="U157" t="s">
        <v>33</v>
      </c>
      <c r="V157" t="s">
        <v>34</v>
      </c>
      <c r="W157" t="s">
        <v>402</v>
      </c>
      <c r="X157" t="s">
        <v>109</v>
      </c>
      <c r="Y157" t="s">
        <v>52</v>
      </c>
    </row>
    <row r="158" spans="1:25" x14ac:dyDescent="0.3">
      <c r="A158">
        <v>10170</v>
      </c>
      <c r="B158">
        <v>47</v>
      </c>
      <c r="C158">
        <v>100</v>
      </c>
      <c r="D158">
        <v>4</v>
      </c>
      <c r="E158">
        <v>5464.69</v>
      </c>
      <c r="F158" s="1">
        <v>37722</v>
      </c>
      <c r="G158" t="s">
        <v>26</v>
      </c>
      <c r="H158">
        <v>4</v>
      </c>
      <c r="I158">
        <v>11</v>
      </c>
      <c r="J158">
        <v>2003</v>
      </c>
      <c r="K158" t="s">
        <v>198</v>
      </c>
      <c r="L158">
        <v>117</v>
      </c>
      <c r="M158" t="s">
        <v>586</v>
      </c>
      <c r="N158" t="s">
        <v>461</v>
      </c>
      <c r="O158" t="s">
        <v>462</v>
      </c>
      <c r="P158" t="s">
        <v>463</v>
      </c>
      <c r="R158" t="s">
        <v>464</v>
      </c>
      <c r="T158">
        <v>8010</v>
      </c>
      <c r="U158" t="s">
        <v>162</v>
      </c>
      <c r="V158" t="s">
        <v>43</v>
      </c>
      <c r="W158" t="s">
        <v>465</v>
      </c>
      <c r="X158" t="s">
        <v>466</v>
      </c>
      <c r="Y158" t="s">
        <v>52</v>
      </c>
    </row>
    <row r="159" spans="1:25" x14ac:dyDescent="0.3">
      <c r="A159">
        <v>10212</v>
      </c>
      <c r="B159">
        <v>39</v>
      </c>
      <c r="C159">
        <v>100</v>
      </c>
      <c r="D159">
        <v>16</v>
      </c>
      <c r="E159">
        <v>4946.76</v>
      </c>
      <c r="F159" t="s">
        <v>587</v>
      </c>
      <c r="G159" t="s">
        <v>26</v>
      </c>
      <c r="H159">
        <v>1</v>
      </c>
      <c r="I159">
        <v>1</v>
      </c>
      <c r="J159">
        <v>2004</v>
      </c>
      <c r="K159" t="s">
        <v>198</v>
      </c>
      <c r="L159">
        <v>117</v>
      </c>
      <c r="M159" t="s">
        <v>586</v>
      </c>
      <c r="N159" t="s">
        <v>190</v>
      </c>
      <c r="O159" t="s">
        <v>191</v>
      </c>
      <c r="P159" t="s">
        <v>192</v>
      </c>
      <c r="R159" t="s">
        <v>193</v>
      </c>
      <c r="T159">
        <v>28034</v>
      </c>
      <c r="U159" t="s">
        <v>194</v>
      </c>
      <c r="V159" t="s">
        <v>43</v>
      </c>
      <c r="W159" t="s">
        <v>195</v>
      </c>
      <c r="X159" t="s">
        <v>196</v>
      </c>
      <c r="Y159" t="s">
        <v>52</v>
      </c>
    </row>
    <row r="160" spans="1:25" x14ac:dyDescent="0.3">
      <c r="A160">
        <v>10376</v>
      </c>
      <c r="B160">
        <v>35</v>
      </c>
      <c r="C160">
        <v>100</v>
      </c>
      <c r="D160">
        <v>1</v>
      </c>
      <c r="E160">
        <v>3987.2</v>
      </c>
      <c r="F160" s="1">
        <v>38566</v>
      </c>
      <c r="G160" t="s">
        <v>26</v>
      </c>
      <c r="H160">
        <v>1</v>
      </c>
      <c r="I160">
        <v>2</v>
      </c>
      <c r="J160">
        <v>2005</v>
      </c>
      <c r="K160" t="s">
        <v>198</v>
      </c>
      <c r="L160">
        <v>117</v>
      </c>
      <c r="M160" t="s">
        <v>586</v>
      </c>
      <c r="N160" t="s">
        <v>588</v>
      </c>
      <c r="O160">
        <v>3105552373</v>
      </c>
      <c r="P160" t="s">
        <v>589</v>
      </c>
      <c r="R160" t="s">
        <v>590</v>
      </c>
      <c r="S160" t="s">
        <v>57</v>
      </c>
      <c r="T160">
        <v>92561</v>
      </c>
      <c r="U160" t="s">
        <v>33</v>
      </c>
      <c r="V160" t="s">
        <v>34</v>
      </c>
      <c r="W160" t="s">
        <v>58</v>
      </c>
      <c r="X160" t="s">
        <v>270</v>
      </c>
      <c r="Y160" t="s">
        <v>52</v>
      </c>
    </row>
    <row r="161" spans="1:25" x14ac:dyDescent="0.3">
      <c r="A161">
        <v>10349</v>
      </c>
      <c r="B161">
        <v>26</v>
      </c>
      <c r="C161">
        <v>100</v>
      </c>
      <c r="D161">
        <v>10</v>
      </c>
      <c r="E161">
        <v>4408.5600000000004</v>
      </c>
      <c r="F161" s="1">
        <v>37998</v>
      </c>
      <c r="G161" t="s">
        <v>26</v>
      </c>
      <c r="H161">
        <v>4</v>
      </c>
      <c r="I161">
        <v>12</v>
      </c>
      <c r="J161">
        <v>2004</v>
      </c>
      <c r="K161" t="s">
        <v>198</v>
      </c>
      <c r="L161">
        <v>173</v>
      </c>
      <c r="M161" t="s">
        <v>591</v>
      </c>
      <c r="N161" t="s">
        <v>537</v>
      </c>
      <c r="O161">
        <v>2125557413</v>
      </c>
      <c r="P161" t="s">
        <v>538</v>
      </c>
      <c r="Q161" t="s">
        <v>539</v>
      </c>
      <c r="R161" t="s">
        <v>31</v>
      </c>
      <c r="S161" t="s">
        <v>32</v>
      </c>
      <c r="T161">
        <v>10022</v>
      </c>
      <c r="U161" t="s">
        <v>33</v>
      </c>
      <c r="V161" t="s">
        <v>34</v>
      </c>
      <c r="W161" t="s">
        <v>58</v>
      </c>
      <c r="X161" t="s">
        <v>540</v>
      </c>
      <c r="Y161" t="s">
        <v>52</v>
      </c>
    </row>
    <row r="162" spans="1:25" x14ac:dyDescent="0.3">
      <c r="A162">
        <v>10396</v>
      </c>
      <c r="B162">
        <v>33</v>
      </c>
      <c r="C162">
        <v>100</v>
      </c>
      <c r="D162">
        <v>3</v>
      </c>
      <c r="E162">
        <v>6109.29</v>
      </c>
      <c r="F162" t="s">
        <v>592</v>
      </c>
      <c r="G162" t="s">
        <v>26</v>
      </c>
      <c r="H162">
        <v>1</v>
      </c>
      <c r="I162">
        <v>3</v>
      </c>
      <c r="J162">
        <v>2005</v>
      </c>
      <c r="K162" t="s">
        <v>198</v>
      </c>
      <c r="L162">
        <v>173</v>
      </c>
      <c r="M162" t="s">
        <v>591</v>
      </c>
      <c r="N162" t="s">
        <v>301</v>
      </c>
      <c r="O162">
        <v>4155551450</v>
      </c>
      <c r="P162" t="s">
        <v>302</v>
      </c>
      <c r="R162" t="s">
        <v>303</v>
      </c>
      <c r="S162" t="s">
        <v>57</v>
      </c>
      <c r="T162">
        <v>97562</v>
      </c>
      <c r="U162" t="s">
        <v>33</v>
      </c>
      <c r="V162" t="s">
        <v>34</v>
      </c>
      <c r="W162" t="s">
        <v>304</v>
      </c>
      <c r="X162" t="s">
        <v>305</v>
      </c>
      <c r="Y162" t="s">
        <v>52</v>
      </c>
    </row>
    <row r="163" spans="1:25" x14ac:dyDescent="0.3">
      <c r="A163">
        <v>10377</v>
      </c>
      <c r="B163">
        <v>24</v>
      </c>
      <c r="C163">
        <v>67.83</v>
      </c>
      <c r="D163">
        <v>5</v>
      </c>
      <c r="E163">
        <v>1627.92</v>
      </c>
      <c r="F163" s="1">
        <v>38597</v>
      </c>
      <c r="G163" t="s">
        <v>26</v>
      </c>
      <c r="H163">
        <v>1</v>
      </c>
      <c r="I163">
        <v>2</v>
      </c>
      <c r="J163">
        <v>2005</v>
      </c>
      <c r="K163" t="s">
        <v>198</v>
      </c>
      <c r="L163">
        <v>79</v>
      </c>
      <c r="M163" t="s">
        <v>593</v>
      </c>
      <c r="N163" t="s">
        <v>137</v>
      </c>
      <c r="O163" t="s">
        <v>138</v>
      </c>
      <c r="P163" t="s">
        <v>139</v>
      </c>
      <c r="R163" t="s">
        <v>140</v>
      </c>
      <c r="T163">
        <v>21240</v>
      </c>
      <c r="U163" t="s">
        <v>141</v>
      </c>
      <c r="V163" t="s">
        <v>43</v>
      </c>
      <c r="W163" t="s">
        <v>142</v>
      </c>
      <c r="X163" t="s">
        <v>143</v>
      </c>
      <c r="Y163" t="s">
        <v>37</v>
      </c>
    </row>
    <row r="164" spans="1:25" x14ac:dyDescent="0.3">
      <c r="A164">
        <v>10115</v>
      </c>
      <c r="B164">
        <v>46</v>
      </c>
      <c r="C164">
        <v>100</v>
      </c>
      <c r="D164">
        <v>5</v>
      </c>
      <c r="E164">
        <v>5723.78</v>
      </c>
      <c r="F164" s="1">
        <v>37715</v>
      </c>
      <c r="G164" t="s">
        <v>26</v>
      </c>
      <c r="H164">
        <v>2</v>
      </c>
      <c r="I164">
        <v>4</v>
      </c>
      <c r="J164">
        <v>2003</v>
      </c>
      <c r="K164" t="s">
        <v>573</v>
      </c>
      <c r="L164">
        <v>118</v>
      </c>
      <c r="M164" t="s">
        <v>594</v>
      </c>
      <c r="N164" t="s">
        <v>225</v>
      </c>
      <c r="O164">
        <v>2125558493</v>
      </c>
      <c r="P164" t="s">
        <v>226</v>
      </c>
      <c r="Q164" t="s">
        <v>227</v>
      </c>
      <c r="R164" t="s">
        <v>31</v>
      </c>
      <c r="S164" t="s">
        <v>32</v>
      </c>
      <c r="T164">
        <v>10022</v>
      </c>
      <c r="U164" t="s">
        <v>33</v>
      </c>
      <c r="V164" t="s">
        <v>34</v>
      </c>
      <c r="W164" t="s">
        <v>134</v>
      </c>
      <c r="X164" t="s">
        <v>228</v>
      </c>
      <c r="Y164" t="s">
        <v>52</v>
      </c>
    </row>
    <row r="165" spans="1:25" x14ac:dyDescent="0.3">
      <c r="A165">
        <v>10141</v>
      </c>
      <c r="B165">
        <v>21</v>
      </c>
      <c r="C165">
        <v>100</v>
      </c>
      <c r="D165">
        <v>5</v>
      </c>
      <c r="E165">
        <v>2140.11</v>
      </c>
      <c r="F165" s="1">
        <v>37629</v>
      </c>
      <c r="G165" t="s">
        <v>26</v>
      </c>
      <c r="H165">
        <v>3</v>
      </c>
      <c r="I165">
        <v>8</v>
      </c>
      <c r="J165">
        <v>2003</v>
      </c>
      <c r="K165" t="s">
        <v>573</v>
      </c>
      <c r="L165">
        <v>118</v>
      </c>
      <c r="M165" t="s">
        <v>594</v>
      </c>
      <c r="N165" t="s">
        <v>527</v>
      </c>
      <c r="O165" t="s">
        <v>528</v>
      </c>
      <c r="P165" t="s">
        <v>529</v>
      </c>
      <c r="R165" t="s">
        <v>530</v>
      </c>
      <c r="T165" t="s">
        <v>531</v>
      </c>
      <c r="U165" t="s">
        <v>141</v>
      </c>
      <c r="V165" t="s">
        <v>43</v>
      </c>
      <c r="W165" t="s">
        <v>532</v>
      </c>
      <c r="X165" t="s">
        <v>533</v>
      </c>
      <c r="Y165" t="s">
        <v>37</v>
      </c>
    </row>
    <row r="166" spans="1:25" x14ac:dyDescent="0.3">
      <c r="A166">
        <v>10151</v>
      </c>
      <c r="B166">
        <v>24</v>
      </c>
      <c r="C166">
        <v>100</v>
      </c>
      <c r="D166">
        <v>3</v>
      </c>
      <c r="E166">
        <v>3327.6</v>
      </c>
      <c r="F166" t="s">
        <v>595</v>
      </c>
      <c r="G166" t="s">
        <v>26</v>
      </c>
      <c r="H166">
        <v>3</v>
      </c>
      <c r="I166">
        <v>9</v>
      </c>
      <c r="J166">
        <v>2003</v>
      </c>
      <c r="K166" t="s">
        <v>573</v>
      </c>
      <c r="L166">
        <v>118</v>
      </c>
      <c r="M166" t="s">
        <v>594</v>
      </c>
      <c r="N166" t="s">
        <v>440</v>
      </c>
      <c r="O166" t="s">
        <v>441</v>
      </c>
      <c r="P166" t="s">
        <v>442</v>
      </c>
      <c r="R166" t="s">
        <v>443</v>
      </c>
      <c r="T166">
        <v>90110</v>
      </c>
      <c r="U166" t="s">
        <v>141</v>
      </c>
      <c r="V166" t="s">
        <v>43</v>
      </c>
      <c r="W166" t="s">
        <v>444</v>
      </c>
      <c r="X166" t="s">
        <v>445</v>
      </c>
      <c r="Y166" t="s">
        <v>52</v>
      </c>
    </row>
    <row r="167" spans="1:25" x14ac:dyDescent="0.3">
      <c r="A167">
        <v>10184</v>
      </c>
      <c r="B167">
        <v>37</v>
      </c>
      <c r="C167">
        <v>100</v>
      </c>
      <c r="D167">
        <v>6</v>
      </c>
      <c r="E167">
        <v>4516.22</v>
      </c>
      <c r="F167" t="s">
        <v>385</v>
      </c>
      <c r="G167" t="s">
        <v>26</v>
      </c>
      <c r="H167">
        <v>4</v>
      </c>
      <c r="I167">
        <v>11</v>
      </c>
      <c r="J167">
        <v>2003</v>
      </c>
      <c r="K167" t="s">
        <v>573</v>
      </c>
      <c r="L167">
        <v>118</v>
      </c>
      <c r="M167" t="s">
        <v>594</v>
      </c>
      <c r="N167" t="s">
        <v>596</v>
      </c>
      <c r="O167" t="s">
        <v>597</v>
      </c>
      <c r="P167" t="s">
        <v>598</v>
      </c>
      <c r="R167" t="s">
        <v>599</v>
      </c>
      <c r="T167">
        <v>41101</v>
      </c>
      <c r="U167" t="s">
        <v>194</v>
      </c>
      <c r="V167" t="s">
        <v>43</v>
      </c>
      <c r="W167" t="s">
        <v>600</v>
      </c>
      <c r="X167" t="s">
        <v>601</v>
      </c>
      <c r="Y167" t="s">
        <v>52</v>
      </c>
    </row>
    <row r="168" spans="1:25" x14ac:dyDescent="0.3">
      <c r="A168">
        <v>10195</v>
      </c>
      <c r="B168">
        <v>49</v>
      </c>
      <c r="C168">
        <v>100</v>
      </c>
      <c r="D168">
        <v>6</v>
      </c>
      <c r="E168">
        <v>6445.46</v>
      </c>
      <c r="F168" t="s">
        <v>242</v>
      </c>
      <c r="G168" t="s">
        <v>26</v>
      </c>
      <c r="H168">
        <v>4</v>
      </c>
      <c r="I168">
        <v>11</v>
      </c>
      <c r="J168">
        <v>2003</v>
      </c>
      <c r="K168" t="s">
        <v>573</v>
      </c>
      <c r="L168">
        <v>118</v>
      </c>
      <c r="M168" t="s">
        <v>594</v>
      </c>
      <c r="N168" t="s">
        <v>353</v>
      </c>
      <c r="O168">
        <v>9145554562</v>
      </c>
      <c r="P168" t="s">
        <v>354</v>
      </c>
      <c r="R168" t="s">
        <v>355</v>
      </c>
      <c r="S168" t="s">
        <v>32</v>
      </c>
      <c r="T168">
        <v>24067</v>
      </c>
      <c r="U168" t="s">
        <v>33</v>
      </c>
      <c r="V168" t="s">
        <v>34</v>
      </c>
      <c r="W168" t="s">
        <v>108</v>
      </c>
      <c r="X168" t="s">
        <v>263</v>
      </c>
      <c r="Y168" t="s">
        <v>52</v>
      </c>
    </row>
    <row r="169" spans="1:25" x14ac:dyDescent="0.3">
      <c r="A169">
        <v>10219</v>
      </c>
      <c r="B169">
        <v>48</v>
      </c>
      <c r="C169">
        <v>100</v>
      </c>
      <c r="D169">
        <v>2</v>
      </c>
      <c r="E169">
        <v>4891.68</v>
      </c>
      <c r="F169" s="1">
        <v>38262</v>
      </c>
      <c r="G169" t="s">
        <v>26</v>
      </c>
      <c r="H169">
        <v>1</v>
      </c>
      <c r="I169">
        <v>2</v>
      </c>
      <c r="J169">
        <v>2004</v>
      </c>
      <c r="K169" t="s">
        <v>573</v>
      </c>
      <c r="L169">
        <v>118</v>
      </c>
      <c r="M169" t="s">
        <v>594</v>
      </c>
      <c r="N169" t="s">
        <v>602</v>
      </c>
      <c r="O169">
        <v>4155554312</v>
      </c>
      <c r="P169" t="s">
        <v>603</v>
      </c>
      <c r="R169" t="s">
        <v>604</v>
      </c>
      <c r="S169" t="s">
        <v>57</v>
      </c>
      <c r="T169">
        <v>94217</v>
      </c>
      <c r="U169" t="s">
        <v>33</v>
      </c>
      <c r="V169" t="s">
        <v>34</v>
      </c>
      <c r="W169" t="s">
        <v>605</v>
      </c>
      <c r="X169" t="s">
        <v>451</v>
      </c>
      <c r="Y169" t="s">
        <v>52</v>
      </c>
    </row>
    <row r="170" spans="1:25" x14ac:dyDescent="0.3">
      <c r="A170">
        <v>10246</v>
      </c>
      <c r="B170">
        <v>46</v>
      </c>
      <c r="C170">
        <v>100</v>
      </c>
      <c r="D170">
        <v>5</v>
      </c>
      <c r="E170">
        <v>5069.66</v>
      </c>
      <c r="F170" s="1">
        <v>38112</v>
      </c>
      <c r="G170" t="s">
        <v>26</v>
      </c>
      <c r="H170">
        <v>2</v>
      </c>
      <c r="I170">
        <v>5</v>
      </c>
      <c r="J170">
        <v>2004</v>
      </c>
      <c r="K170" t="s">
        <v>573</v>
      </c>
      <c r="L170">
        <v>118</v>
      </c>
      <c r="M170" t="s">
        <v>594</v>
      </c>
      <c r="N170" t="s">
        <v>190</v>
      </c>
      <c r="O170" t="s">
        <v>191</v>
      </c>
      <c r="P170" t="s">
        <v>192</v>
      </c>
      <c r="R170" t="s">
        <v>193</v>
      </c>
      <c r="T170">
        <v>28034</v>
      </c>
      <c r="U170" t="s">
        <v>194</v>
      </c>
      <c r="V170" t="s">
        <v>43</v>
      </c>
      <c r="W170" t="s">
        <v>195</v>
      </c>
      <c r="X170" t="s">
        <v>196</v>
      </c>
      <c r="Y170" t="s">
        <v>52</v>
      </c>
    </row>
    <row r="171" spans="1:25" x14ac:dyDescent="0.3">
      <c r="A171">
        <v>10271</v>
      </c>
      <c r="B171">
        <v>31</v>
      </c>
      <c r="C171">
        <v>97.17</v>
      </c>
      <c r="D171">
        <v>5</v>
      </c>
      <c r="E171">
        <v>3012.27</v>
      </c>
      <c r="F171" t="s">
        <v>557</v>
      </c>
      <c r="G171" t="s">
        <v>26</v>
      </c>
      <c r="H171">
        <v>3</v>
      </c>
      <c r="I171">
        <v>7</v>
      </c>
      <c r="J171">
        <v>2004</v>
      </c>
      <c r="K171" t="s">
        <v>573</v>
      </c>
      <c r="L171">
        <v>118</v>
      </c>
      <c r="M171" t="s">
        <v>594</v>
      </c>
      <c r="N171" t="s">
        <v>301</v>
      </c>
      <c r="O171">
        <v>4155551450</v>
      </c>
      <c r="P171" t="s">
        <v>302</v>
      </c>
      <c r="R171" t="s">
        <v>303</v>
      </c>
      <c r="S171" t="s">
        <v>57</v>
      </c>
      <c r="T171">
        <v>97562</v>
      </c>
      <c r="U171" t="s">
        <v>33</v>
      </c>
      <c r="V171" t="s">
        <v>34</v>
      </c>
      <c r="W171" t="s">
        <v>304</v>
      </c>
      <c r="X171" t="s">
        <v>305</v>
      </c>
      <c r="Y171" t="s">
        <v>52</v>
      </c>
    </row>
    <row r="172" spans="1:25" x14ac:dyDescent="0.3">
      <c r="A172">
        <v>10292</v>
      </c>
      <c r="B172">
        <v>21</v>
      </c>
      <c r="C172">
        <v>100</v>
      </c>
      <c r="D172">
        <v>8</v>
      </c>
      <c r="E172">
        <v>2214.87</v>
      </c>
      <c r="F172" s="1">
        <v>38208</v>
      </c>
      <c r="G172" t="s">
        <v>26</v>
      </c>
      <c r="H172">
        <v>3</v>
      </c>
      <c r="I172">
        <v>9</v>
      </c>
      <c r="J172">
        <v>2004</v>
      </c>
      <c r="K172" t="s">
        <v>573</v>
      </c>
      <c r="L172">
        <v>118</v>
      </c>
      <c r="M172" t="s">
        <v>594</v>
      </c>
      <c r="N172" t="s">
        <v>29</v>
      </c>
      <c r="O172">
        <v>2125557818</v>
      </c>
      <c r="P172" t="s">
        <v>30</v>
      </c>
      <c r="R172" t="s">
        <v>31</v>
      </c>
      <c r="S172" t="s">
        <v>32</v>
      </c>
      <c r="T172">
        <v>10022</v>
      </c>
      <c r="U172" t="s">
        <v>33</v>
      </c>
      <c r="V172" t="s">
        <v>34</v>
      </c>
      <c r="W172" t="s">
        <v>35</v>
      </c>
      <c r="X172" t="s">
        <v>36</v>
      </c>
      <c r="Y172" t="s">
        <v>37</v>
      </c>
    </row>
    <row r="173" spans="1:25" x14ac:dyDescent="0.3">
      <c r="A173">
        <v>10412</v>
      </c>
      <c r="B173">
        <v>54</v>
      </c>
      <c r="C173">
        <v>100</v>
      </c>
      <c r="D173">
        <v>5</v>
      </c>
      <c r="E173">
        <v>5951.34</v>
      </c>
      <c r="F173" s="1">
        <v>38416</v>
      </c>
      <c r="G173" t="s">
        <v>26</v>
      </c>
      <c r="H173">
        <v>2</v>
      </c>
      <c r="I173">
        <v>5</v>
      </c>
      <c r="J173">
        <v>2005</v>
      </c>
      <c r="K173" t="s">
        <v>573</v>
      </c>
      <c r="L173">
        <v>118</v>
      </c>
      <c r="M173" t="s">
        <v>594</v>
      </c>
      <c r="N173" t="s">
        <v>190</v>
      </c>
      <c r="O173" t="s">
        <v>191</v>
      </c>
      <c r="P173" t="s">
        <v>192</v>
      </c>
      <c r="R173" t="s">
        <v>193</v>
      </c>
      <c r="T173">
        <v>28034</v>
      </c>
      <c r="U173" t="s">
        <v>194</v>
      </c>
      <c r="V173" t="s">
        <v>43</v>
      </c>
      <c r="W173" t="s">
        <v>195</v>
      </c>
      <c r="X173" t="s">
        <v>196</v>
      </c>
      <c r="Y173" t="s">
        <v>52</v>
      </c>
    </row>
    <row r="174" spans="1:25" x14ac:dyDescent="0.3">
      <c r="A174">
        <v>10192</v>
      </c>
      <c r="B174">
        <v>27</v>
      </c>
      <c r="C174">
        <v>100</v>
      </c>
      <c r="D174">
        <v>16</v>
      </c>
      <c r="E174">
        <v>3544.56</v>
      </c>
      <c r="F174" t="s">
        <v>495</v>
      </c>
      <c r="G174" t="s">
        <v>26</v>
      </c>
      <c r="H174">
        <v>4</v>
      </c>
      <c r="I174">
        <v>11</v>
      </c>
      <c r="J174">
        <v>2003</v>
      </c>
      <c r="K174" t="s">
        <v>198</v>
      </c>
      <c r="L174">
        <v>115</v>
      </c>
      <c r="M174" t="s">
        <v>606</v>
      </c>
      <c r="N174" t="s">
        <v>306</v>
      </c>
      <c r="O174">
        <v>6035558647</v>
      </c>
      <c r="P174" t="s">
        <v>307</v>
      </c>
      <c r="R174" t="s">
        <v>308</v>
      </c>
      <c r="S174" t="s">
        <v>309</v>
      </c>
      <c r="T174">
        <v>62005</v>
      </c>
      <c r="U174" t="s">
        <v>33</v>
      </c>
      <c r="V174" t="s">
        <v>34</v>
      </c>
      <c r="W174" t="s">
        <v>58</v>
      </c>
      <c r="X174" t="s">
        <v>305</v>
      </c>
      <c r="Y174" t="s">
        <v>52</v>
      </c>
    </row>
    <row r="175" spans="1:25" x14ac:dyDescent="0.3">
      <c r="A175">
        <v>10239</v>
      </c>
      <c r="B175">
        <v>21</v>
      </c>
      <c r="C175">
        <v>93.28</v>
      </c>
      <c r="D175">
        <v>5</v>
      </c>
      <c r="E175">
        <v>1958.88</v>
      </c>
      <c r="F175" s="1">
        <v>38325</v>
      </c>
      <c r="G175" t="s">
        <v>26</v>
      </c>
      <c r="H175">
        <v>2</v>
      </c>
      <c r="I175">
        <v>4</v>
      </c>
      <c r="J175">
        <v>2004</v>
      </c>
      <c r="K175" t="s">
        <v>198</v>
      </c>
      <c r="L175">
        <v>115</v>
      </c>
      <c r="M175" t="s">
        <v>606</v>
      </c>
      <c r="N175" t="s">
        <v>440</v>
      </c>
      <c r="O175" t="s">
        <v>441</v>
      </c>
      <c r="P175" t="s">
        <v>442</v>
      </c>
      <c r="R175" t="s">
        <v>443</v>
      </c>
      <c r="T175">
        <v>90110</v>
      </c>
      <c r="U175" t="s">
        <v>141</v>
      </c>
      <c r="V175" t="s">
        <v>43</v>
      </c>
      <c r="W175" t="s">
        <v>444</v>
      </c>
      <c r="X175" t="s">
        <v>445</v>
      </c>
      <c r="Y175" t="s">
        <v>37</v>
      </c>
    </row>
    <row r="176" spans="1:25" x14ac:dyDescent="0.3">
      <c r="A176">
        <v>10277</v>
      </c>
      <c r="B176">
        <v>28</v>
      </c>
      <c r="C176">
        <v>100</v>
      </c>
      <c r="D176">
        <v>1</v>
      </c>
      <c r="E176">
        <v>3127.88</v>
      </c>
      <c r="F176" s="1">
        <v>38085</v>
      </c>
      <c r="G176" t="s">
        <v>26</v>
      </c>
      <c r="H176">
        <v>3</v>
      </c>
      <c r="I176">
        <v>8</v>
      </c>
      <c r="J176">
        <v>2004</v>
      </c>
      <c r="K176" t="s">
        <v>198</v>
      </c>
      <c r="L176">
        <v>115</v>
      </c>
      <c r="M176" t="s">
        <v>606</v>
      </c>
      <c r="N176" t="s">
        <v>217</v>
      </c>
      <c r="O176" t="s">
        <v>218</v>
      </c>
      <c r="P176" t="s">
        <v>219</v>
      </c>
      <c r="R176" t="s">
        <v>220</v>
      </c>
      <c r="T176">
        <v>79903</v>
      </c>
      <c r="U176" t="s">
        <v>220</v>
      </c>
      <c r="V176" t="s">
        <v>221</v>
      </c>
      <c r="W176" t="s">
        <v>222</v>
      </c>
      <c r="X176" t="s">
        <v>223</v>
      </c>
      <c r="Y176" t="s">
        <v>52</v>
      </c>
    </row>
    <row r="177" spans="1:25" x14ac:dyDescent="0.3">
      <c r="A177">
        <v>10321</v>
      </c>
      <c r="B177">
        <v>24</v>
      </c>
      <c r="C177">
        <v>100</v>
      </c>
      <c r="D177">
        <v>15</v>
      </c>
      <c r="E177">
        <v>2984.88</v>
      </c>
      <c r="F177" s="1">
        <v>38088</v>
      </c>
      <c r="G177" t="s">
        <v>26</v>
      </c>
      <c r="H177">
        <v>4</v>
      </c>
      <c r="I177">
        <v>11</v>
      </c>
      <c r="J177">
        <v>2004</v>
      </c>
      <c r="K177" t="s">
        <v>198</v>
      </c>
      <c r="L177">
        <v>115</v>
      </c>
      <c r="M177" t="s">
        <v>606</v>
      </c>
      <c r="N177" t="s">
        <v>175</v>
      </c>
      <c r="O177">
        <v>5085552555</v>
      </c>
      <c r="P177" t="s">
        <v>176</v>
      </c>
      <c r="R177" t="s">
        <v>177</v>
      </c>
      <c r="S177" t="s">
        <v>133</v>
      </c>
      <c r="T177">
        <v>50553</v>
      </c>
      <c r="U177" t="s">
        <v>33</v>
      </c>
      <c r="V177" t="s">
        <v>34</v>
      </c>
      <c r="W177" t="s">
        <v>178</v>
      </c>
      <c r="X177" t="s">
        <v>179</v>
      </c>
      <c r="Y177" t="s">
        <v>37</v>
      </c>
    </row>
    <row r="178" spans="1:25" x14ac:dyDescent="0.3">
      <c r="A178">
        <v>10405</v>
      </c>
      <c r="B178">
        <v>97</v>
      </c>
      <c r="C178">
        <v>93.28</v>
      </c>
      <c r="D178">
        <v>5</v>
      </c>
      <c r="E178">
        <v>9048.16</v>
      </c>
      <c r="F178" t="s">
        <v>607</v>
      </c>
      <c r="G178" t="s">
        <v>26</v>
      </c>
      <c r="H178">
        <v>2</v>
      </c>
      <c r="I178">
        <v>4</v>
      </c>
      <c r="J178">
        <v>2005</v>
      </c>
      <c r="K178" t="s">
        <v>198</v>
      </c>
      <c r="L178">
        <v>115</v>
      </c>
      <c r="M178" t="s">
        <v>606</v>
      </c>
      <c r="N178" t="s">
        <v>608</v>
      </c>
      <c r="O178" t="s">
        <v>609</v>
      </c>
      <c r="P178" t="s">
        <v>610</v>
      </c>
      <c r="R178" t="s">
        <v>611</v>
      </c>
      <c r="T178">
        <v>67000</v>
      </c>
      <c r="U178" t="s">
        <v>42</v>
      </c>
      <c r="V178" t="s">
        <v>43</v>
      </c>
      <c r="W178" t="s">
        <v>612</v>
      </c>
      <c r="X178" t="s">
        <v>613</v>
      </c>
      <c r="Y178" t="s">
        <v>165</v>
      </c>
    </row>
    <row r="179" spans="1:25" x14ac:dyDescent="0.3">
      <c r="A179">
        <v>10109</v>
      </c>
      <c r="B179">
        <v>26</v>
      </c>
      <c r="C179">
        <v>100</v>
      </c>
      <c r="D179">
        <v>4</v>
      </c>
      <c r="E179">
        <v>4379.18</v>
      </c>
      <c r="F179" s="1">
        <v>37897</v>
      </c>
      <c r="G179" t="s">
        <v>26</v>
      </c>
      <c r="H179">
        <v>1</v>
      </c>
      <c r="I179">
        <v>3</v>
      </c>
      <c r="J179">
        <v>2003</v>
      </c>
      <c r="K179" t="s">
        <v>198</v>
      </c>
      <c r="L179">
        <v>141</v>
      </c>
      <c r="M179" t="s">
        <v>614</v>
      </c>
      <c r="N179" t="s">
        <v>344</v>
      </c>
      <c r="O179">
        <v>2155559857</v>
      </c>
      <c r="P179" t="s">
        <v>345</v>
      </c>
      <c r="R179" t="s">
        <v>239</v>
      </c>
      <c r="S179" t="s">
        <v>154</v>
      </c>
      <c r="T179">
        <v>71270</v>
      </c>
      <c r="U179" t="s">
        <v>33</v>
      </c>
      <c r="V179" t="s">
        <v>34</v>
      </c>
      <c r="W179" t="s">
        <v>134</v>
      </c>
      <c r="X179" t="s">
        <v>346</v>
      </c>
      <c r="Y179" t="s">
        <v>52</v>
      </c>
    </row>
    <row r="180" spans="1:25" x14ac:dyDescent="0.3">
      <c r="A180">
        <v>10136</v>
      </c>
      <c r="B180">
        <v>25</v>
      </c>
      <c r="C180">
        <v>100</v>
      </c>
      <c r="D180">
        <v>2</v>
      </c>
      <c r="E180">
        <v>3644.75</v>
      </c>
      <c r="F180" s="1">
        <v>37718</v>
      </c>
      <c r="G180" t="s">
        <v>26</v>
      </c>
      <c r="H180">
        <v>3</v>
      </c>
      <c r="I180">
        <v>7</v>
      </c>
      <c r="J180">
        <v>2003</v>
      </c>
      <c r="K180" t="s">
        <v>198</v>
      </c>
      <c r="L180">
        <v>141</v>
      </c>
      <c r="M180" t="s">
        <v>614</v>
      </c>
      <c r="N180" t="s">
        <v>379</v>
      </c>
      <c r="O180" t="s">
        <v>380</v>
      </c>
      <c r="P180" t="s">
        <v>381</v>
      </c>
      <c r="R180" t="s">
        <v>382</v>
      </c>
      <c r="T180">
        <v>31000</v>
      </c>
      <c r="U180" t="s">
        <v>42</v>
      </c>
      <c r="V180" t="s">
        <v>43</v>
      </c>
      <c r="W180" t="s">
        <v>383</v>
      </c>
      <c r="X180" t="s">
        <v>384</v>
      </c>
      <c r="Y180" t="s">
        <v>52</v>
      </c>
    </row>
    <row r="181" spans="1:25" x14ac:dyDescent="0.3">
      <c r="A181">
        <v>10148</v>
      </c>
      <c r="B181">
        <v>23</v>
      </c>
      <c r="C181">
        <v>100</v>
      </c>
      <c r="D181">
        <v>13</v>
      </c>
      <c r="E181">
        <v>2702.04</v>
      </c>
      <c r="F181" s="1">
        <v>37934</v>
      </c>
      <c r="G181" t="s">
        <v>26</v>
      </c>
      <c r="H181">
        <v>3</v>
      </c>
      <c r="I181">
        <v>9</v>
      </c>
      <c r="J181">
        <v>2003</v>
      </c>
      <c r="K181" t="s">
        <v>198</v>
      </c>
      <c r="L181">
        <v>141</v>
      </c>
      <c r="M181" t="s">
        <v>614</v>
      </c>
      <c r="N181" t="s">
        <v>318</v>
      </c>
      <c r="O181" t="s">
        <v>319</v>
      </c>
      <c r="P181" t="s">
        <v>320</v>
      </c>
      <c r="Q181" t="s">
        <v>321</v>
      </c>
      <c r="R181" t="s">
        <v>322</v>
      </c>
      <c r="S181" t="s">
        <v>172</v>
      </c>
      <c r="T181">
        <v>2060</v>
      </c>
      <c r="U181" t="s">
        <v>101</v>
      </c>
      <c r="V181" t="s">
        <v>102</v>
      </c>
      <c r="W181" t="s">
        <v>323</v>
      </c>
      <c r="X181" t="s">
        <v>324</v>
      </c>
      <c r="Y181" t="s">
        <v>37</v>
      </c>
    </row>
    <row r="182" spans="1:25" x14ac:dyDescent="0.3">
      <c r="A182">
        <v>10161</v>
      </c>
      <c r="B182">
        <v>28</v>
      </c>
      <c r="C182">
        <v>100</v>
      </c>
      <c r="D182">
        <v>12</v>
      </c>
      <c r="E182">
        <v>3764.88</v>
      </c>
      <c r="F182" t="s">
        <v>615</v>
      </c>
      <c r="G182" t="s">
        <v>26</v>
      </c>
      <c r="H182">
        <v>4</v>
      </c>
      <c r="I182">
        <v>10</v>
      </c>
      <c r="J182">
        <v>2003</v>
      </c>
      <c r="K182" t="s">
        <v>198</v>
      </c>
      <c r="L182">
        <v>141</v>
      </c>
      <c r="M182" t="s">
        <v>614</v>
      </c>
      <c r="N182" t="s">
        <v>564</v>
      </c>
      <c r="O182" t="s">
        <v>565</v>
      </c>
      <c r="P182" t="s">
        <v>566</v>
      </c>
      <c r="R182" t="s">
        <v>567</v>
      </c>
      <c r="T182">
        <v>8200</v>
      </c>
      <c r="U182" t="s">
        <v>363</v>
      </c>
      <c r="V182" t="s">
        <v>43</v>
      </c>
      <c r="W182" t="s">
        <v>568</v>
      </c>
      <c r="X182" t="s">
        <v>569</v>
      </c>
      <c r="Y182" t="s">
        <v>52</v>
      </c>
    </row>
    <row r="183" spans="1:25" x14ac:dyDescent="0.3">
      <c r="A183">
        <v>10171</v>
      </c>
      <c r="B183">
        <v>35</v>
      </c>
      <c r="C183">
        <v>100</v>
      </c>
      <c r="D183">
        <v>2</v>
      </c>
      <c r="E183">
        <v>4508</v>
      </c>
      <c r="F183" s="1">
        <v>37752</v>
      </c>
      <c r="G183" t="s">
        <v>26</v>
      </c>
      <c r="H183">
        <v>4</v>
      </c>
      <c r="I183">
        <v>11</v>
      </c>
      <c r="J183">
        <v>2003</v>
      </c>
      <c r="K183" t="s">
        <v>198</v>
      </c>
      <c r="L183">
        <v>141</v>
      </c>
      <c r="M183" t="s">
        <v>614</v>
      </c>
      <c r="N183" t="s">
        <v>325</v>
      </c>
      <c r="O183" t="s">
        <v>326</v>
      </c>
      <c r="P183" t="s">
        <v>327</v>
      </c>
      <c r="R183" t="s">
        <v>328</v>
      </c>
      <c r="S183" t="s">
        <v>329</v>
      </c>
      <c r="T183" t="s">
        <v>330</v>
      </c>
      <c r="U183" t="s">
        <v>255</v>
      </c>
      <c r="V183" t="s">
        <v>34</v>
      </c>
      <c r="W183" t="s">
        <v>331</v>
      </c>
      <c r="X183" t="s">
        <v>332</v>
      </c>
      <c r="Y183" t="s">
        <v>52</v>
      </c>
    </row>
    <row r="184" spans="1:25" x14ac:dyDescent="0.3">
      <c r="A184">
        <v>10204</v>
      </c>
      <c r="B184">
        <v>42</v>
      </c>
      <c r="C184">
        <v>100</v>
      </c>
      <c r="D184">
        <v>17</v>
      </c>
      <c r="E184">
        <v>6182.4</v>
      </c>
      <c r="F184" s="1">
        <v>37664</v>
      </c>
      <c r="G184" t="s">
        <v>26</v>
      </c>
      <c r="H184">
        <v>4</v>
      </c>
      <c r="I184">
        <v>12</v>
      </c>
      <c r="J184">
        <v>2003</v>
      </c>
      <c r="K184" t="s">
        <v>198</v>
      </c>
      <c r="L184">
        <v>141</v>
      </c>
      <c r="M184" t="s">
        <v>614</v>
      </c>
      <c r="N184" t="s">
        <v>537</v>
      </c>
      <c r="O184">
        <v>2125557413</v>
      </c>
      <c r="P184" t="s">
        <v>538</v>
      </c>
      <c r="Q184" t="s">
        <v>539</v>
      </c>
      <c r="R184" t="s">
        <v>31</v>
      </c>
      <c r="S184" t="s">
        <v>32</v>
      </c>
      <c r="T184">
        <v>10022</v>
      </c>
      <c r="U184" t="s">
        <v>33</v>
      </c>
      <c r="V184" t="s">
        <v>34</v>
      </c>
      <c r="W184" t="s">
        <v>58</v>
      </c>
      <c r="X184" t="s">
        <v>540</v>
      </c>
      <c r="Y184" t="s">
        <v>52</v>
      </c>
    </row>
    <row r="185" spans="1:25" x14ac:dyDescent="0.3">
      <c r="A185">
        <v>10240</v>
      </c>
      <c r="B185">
        <v>41</v>
      </c>
      <c r="C185">
        <v>100</v>
      </c>
      <c r="D185">
        <v>3</v>
      </c>
      <c r="E185">
        <v>5628.89</v>
      </c>
      <c r="F185" t="s">
        <v>616</v>
      </c>
      <c r="G185" t="s">
        <v>26</v>
      </c>
      <c r="H185">
        <v>2</v>
      </c>
      <c r="I185">
        <v>4</v>
      </c>
      <c r="J185">
        <v>2004</v>
      </c>
      <c r="K185" t="s">
        <v>198</v>
      </c>
      <c r="L185">
        <v>141</v>
      </c>
      <c r="M185" t="s">
        <v>614</v>
      </c>
      <c r="N185" t="s">
        <v>337</v>
      </c>
      <c r="O185" t="s">
        <v>338</v>
      </c>
      <c r="P185" t="s">
        <v>339</v>
      </c>
      <c r="R185" t="s">
        <v>340</v>
      </c>
      <c r="S185" t="s">
        <v>340</v>
      </c>
      <c r="T185" t="s">
        <v>341</v>
      </c>
      <c r="U185" t="s">
        <v>221</v>
      </c>
      <c r="V185" t="s">
        <v>221</v>
      </c>
      <c r="W185" t="s">
        <v>342</v>
      </c>
      <c r="X185" t="s">
        <v>343</v>
      </c>
      <c r="Y185" t="s">
        <v>52</v>
      </c>
    </row>
    <row r="186" spans="1:25" x14ac:dyDescent="0.3">
      <c r="A186">
        <v>10278</v>
      </c>
      <c r="B186">
        <v>34</v>
      </c>
      <c r="C186">
        <v>100</v>
      </c>
      <c r="D186">
        <v>6</v>
      </c>
      <c r="E186">
        <v>4667.8599999999997</v>
      </c>
      <c r="F186" s="1">
        <v>38146</v>
      </c>
      <c r="G186" t="s">
        <v>26</v>
      </c>
      <c r="H186">
        <v>3</v>
      </c>
      <c r="I186">
        <v>8</v>
      </c>
      <c r="J186">
        <v>2004</v>
      </c>
      <c r="K186" t="s">
        <v>198</v>
      </c>
      <c r="L186">
        <v>141</v>
      </c>
      <c r="M186" t="s">
        <v>614</v>
      </c>
      <c r="N186" t="s">
        <v>617</v>
      </c>
      <c r="O186">
        <v>7025551838</v>
      </c>
      <c r="P186" t="s">
        <v>618</v>
      </c>
      <c r="R186" t="s">
        <v>619</v>
      </c>
      <c r="S186" t="s">
        <v>620</v>
      </c>
      <c r="T186">
        <v>83030</v>
      </c>
      <c r="U186" t="s">
        <v>33</v>
      </c>
      <c r="V186" t="s">
        <v>34</v>
      </c>
      <c r="W186" t="s">
        <v>121</v>
      </c>
      <c r="X186" t="s">
        <v>451</v>
      </c>
      <c r="Y186" t="s">
        <v>52</v>
      </c>
    </row>
    <row r="187" spans="1:25" x14ac:dyDescent="0.3">
      <c r="A187">
        <v>10301</v>
      </c>
      <c r="B187">
        <v>37</v>
      </c>
      <c r="C187">
        <v>100</v>
      </c>
      <c r="D187">
        <v>8</v>
      </c>
      <c r="E187">
        <v>5917.78</v>
      </c>
      <c r="F187" s="1">
        <v>37751</v>
      </c>
      <c r="G187" t="s">
        <v>26</v>
      </c>
      <c r="H187">
        <v>4</v>
      </c>
      <c r="I187">
        <v>10</v>
      </c>
      <c r="J187">
        <v>2003</v>
      </c>
      <c r="K187" t="s">
        <v>198</v>
      </c>
      <c r="L187">
        <v>141</v>
      </c>
      <c r="M187" t="s">
        <v>614</v>
      </c>
      <c r="N187" t="s">
        <v>621</v>
      </c>
      <c r="O187" t="s">
        <v>622</v>
      </c>
      <c r="P187" t="s">
        <v>623</v>
      </c>
      <c r="R187" t="s">
        <v>624</v>
      </c>
      <c r="T187" t="s">
        <v>625</v>
      </c>
      <c r="U187" t="s">
        <v>82</v>
      </c>
      <c r="V187" t="s">
        <v>43</v>
      </c>
      <c r="W187" t="s">
        <v>626</v>
      </c>
      <c r="X187" t="s">
        <v>627</v>
      </c>
      <c r="Y187" t="s">
        <v>52</v>
      </c>
    </row>
    <row r="188" spans="1:25" x14ac:dyDescent="0.3">
      <c r="A188">
        <v>10331</v>
      </c>
      <c r="B188">
        <v>46</v>
      </c>
      <c r="C188">
        <v>100</v>
      </c>
      <c r="D188">
        <v>6</v>
      </c>
      <c r="E188">
        <v>6434.02</v>
      </c>
      <c r="F188" t="s">
        <v>628</v>
      </c>
      <c r="G188" t="s">
        <v>26</v>
      </c>
      <c r="H188">
        <v>4</v>
      </c>
      <c r="I188">
        <v>11</v>
      </c>
      <c r="J188">
        <v>2004</v>
      </c>
      <c r="K188" t="s">
        <v>198</v>
      </c>
      <c r="L188">
        <v>141</v>
      </c>
      <c r="M188" t="s">
        <v>614</v>
      </c>
      <c r="N188" t="s">
        <v>344</v>
      </c>
      <c r="O188">
        <v>2155559857</v>
      </c>
      <c r="P188" t="s">
        <v>345</v>
      </c>
      <c r="R188" t="s">
        <v>239</v>
      </c>
      <c r="S188" t="s">
        <v>154</v>
      </c>
      <c r="T188">
        <v>71270</v>
      </c>
      <c r="U188" t="s">
        <v>33</v>
      </c>
      <c r="V188" t="s">
        <v>34</v>
      </c>
      <c r="W188" t="s">
        <v>134</v>
      </c>
      <c r="X188" t="s">
        <v>346</v>
      </c>
      <c r="Y188" t="s">
        <v>52</v>
      </c>
    </row>
    <row r="189" spans="1:25" x14ac:dyDescent="0.3">
      <c r="A189">
        <v>10342</v>
      </c>
      <c r="B189">
        <v>40</v>
      </c>
      <c r="C189">
        <v>100</v>
      </c>
      <c r="D189">
        <v>2</v>
      </c>
      <c r="E189">
        <v>6454.4</v>
      </c>
      <c r="F189" t="s">
        <v>157</v>
      </c>
      <c r="G189" t="s">
        <v>26</v>
      </c>
      <c r="H189">
        <v>4</v>
      </c>
      <c r="I189">
        <v>11</v>
      </c>
      <c r="J189">
        <v>2004</v>
      </c>
      <c r="K189" t="s">
        <v>198</v>
      </c>
      <c r="L189">
        <v>141</v>
      </c>
      <c r="M189" t="s">
        <v>614</v>
      </c>
      <c r="N189" t="s">
        <v>95</v>
      </c>
      <c r="O189" t="s">
        <v>96</v>
      </c>
      <c r="P189" t="s">
        <v>97</v>
      </c>
      <c r="Q189" t="s">
        <v>98</v>
      </c>
      <c r="R189" t="s">
        <v>99</v>
      </c>
      <c r="S189" t="s">
        <v>100</v>
      </c>
      <c r="T189">
        <v>3004</v>
      </c>
      <c r="U189" t="s">
        <v>101</v>
      </c>
      <c r="V189" t="s">
        <v>102</v>
      </c>
      <c r="W189" t="s">
        <v>103</v>
      </c>
      <c r="X189" t="s">
        <v>104</v>
      </c>
      <c r="Y189" t="s">
        <v>52</v>
      </c>
    </row>
    <row r="190" spans="1:25" x14ac:dyDescent="0.3">
      <c r="A190">
        <v>10356</v>
      </c>
      <c r="B190">
        <v>43</v>
      </c>
      <c r="C190">
        <v>97.6</v>
      </c>
      <c r="D190">
        <v>8</v>
      </c>
      <c r="E190">
        <v>4196.8</v>
      </c>
      <c r="F190" s="1">
        <v>38242</v>
      </c>
      <c r="G190" t="s">
        <v>26</v>
      </c>
      <c r="H190">
        <v>4</v>
      </c>
      <c r="I190">
        <v>12</v>
      </c>
      <c r="J190">
        <v>2004</v>
      </c>
      <c r="K190" t="s">
        <v>198</v>
      </c>
      <c r="L190">
        <v>141</v>
      </c>
      <c r="M190" t="s">
        <v>614</v>
      </c>
      <c r="N190" t="s">
        <v>46</v>
      </c>
      <c r="O190" t="s">
        <v>47</v>
      </c>
      <c r="P190" t="s">
        <v>48</v>
      </c>
      <c r="R190" t="s">
        <v>49</v>
      </c>
      <c r="T190">
        <v>75508</v>
      </c>
      <c r="U190" t="s">
        <v>42</v>
      </c>
      <c r="V190" t="s">
        <v>43</v>
      </c>
      <c r="W190" t="s">
        <v>50</v>
      </c>
      <c r="X190" t="s">
        <v>51</v>
      </c>
      <c r="Y190" t="s">
        <v>52</v>
      </c>
    </row>
    <row r="191" spans="1:25" x14ac:dyDescent="0.3">
      <c r="A191">
        <v>10365</v>
      </c>
      <c r="B191">
        <v>30</v>
      </c>
      <c r="C191">
        <v>87.06</v>
      </c>
      <c r="D191">
        <v>1</v>
      </c>
      <c r="E191">
        <v>2611.8000000000002</v>
      </c>
      <c r="F191" s="1">
        <v>38534</v>
      </c>
      <c r="G191" t="s">
        <v>26</v>
      </c>
      <c r="H191">
        <v>1</v>
      </c>
      <c r="I191">
        <v>1</v>
      </c>
      <c r="J191">
        <v>2005</v>
      </c>
      <c r="K191" t="s">
        <v>198</v>
      </c>
      <c r="L191">
        <v>141</v>
      </c>
      <c r="M191" t="s">
        <v>614</v>
      </c>
      <c r="N191" t="s">
        <v>373</v>
      </c>
      <c r="O191">
        <v>5085559555</v>
      </c>
      <c r="P191" t="s">
        <v>374</v>
      </c>
      <c r="R191" t="s">
        <v>177</v>
      </c>
      <c r="S191" t="s">
        <v>133</v>
      </c>
      <c r="T191">
        <v>50553</v>
      </c>
      <c r="U191" t="s">
        <v>33</v>
      </c>
      <c r="V191" t="s">
        <v>34</v>
      </c>
      <c r="W191" t="s">
        <v>375</v>
      </c>
      <c r="X191" t="s">
        <v>376</v>
      </c>
      <c r="Y191" t="s">
        <v>37</v>
      </c>
    </row>
    <row r="192" spans="1:25" x14ac:dyDescent="0.3">
      <c r="A192">
        <v>10390</v>
      </c>
      <c r="B192">
        <v>36</v>
      </c>
      <c r="C192">
        <v>93.77</v>
      </c>
      <c r="D192">
        <v>14</v>
      </c>
      <c r="E192">
        <v>3375.72</v>
      </c>
      <c r="F192" s="1">
        <v>38445</v>
      </c>
      <c r="G192" t="s">
        <v>26</v>
      </c>
      <c r="H192">
        <v>1</v>
      </c>
      <c r="I192">
        <v>3</v>
      </c>
      <c r="J192">
        <v>2005</v>
      </c>
      <c r="K192" t="s">
        <v>198</v>
      </c>
      <c r="L192">
        <v>141</v>
      </c>
      <c r="M192" t="s">
        <v>614</v>
      </c>
      <c r="N192" t="s">
        <v>301</v>
      </c>
      <c r="O192">
        <v>4155551450</v>
      </c>
      <c r="P192" t="s">
        <v>302</v>
      </c>
      <c r="R192" t="s">
        <v>303</v>
      </c>
      <c r="S192" t="s">
        <v>57</v>
      </c>
      <c r="T192">
        <v>97562</v>
      </c>
      <c r="U192" t="s">
        <v>33</v>
      </c>
      <c r="V192" t="s">
        <v>34</v>
      </c>
      <c r="W192" t="s">
        <v>304</v>
      </c>
      <c r="X192" t="s">
        <v>305</v>
      </c>
      <c r="Y192" t="s">
        <v>52</v>
      </c>
    </row>
    <row r="193" spans="1:25" x14ac:dyDescent="0.3">
      <c r="A193">
        <v>10406</v>
      </c>
      <c r="B193">
        <v>61</v>
      </c>
      <c r="C193">
        <v>100</v>
      </c>
      <c r="D193">
        <v>3</v>
      </c>
      <c r="E193">
        <v>8374.69</v>
      </c>
      <c r="F193" t="s">
        <v>629</v>
      </c>
      <c r="G193" t="s">
        <v>189</v>
      </c>
      <c r="H193">
        <v>2</v>
      </c>
      <c r="I193">
        <v>4</v>
      </c>
      <c r="J193">
        <v>2005</v>
      </c>
      <c r="K193" t="s">
        <v>198</v>
      </c>
      <c r="L193">
        <v>141</v>
      </c>
      <c r="M193" t="s">
        <v>614</v>
      </c>
      <c r="N193" t="s">
        <v>359</v>
      </c>
      <c r="O193" t="s">
        <v>360</v>
      </c>
      <c r="P193" t="s">
        <v>361</v>
      </c>
      <c r="R193" t="s">
        <v>362</v>
      </c>
      <c r="T193">
        <v>1734</v>
      </c>
      <c r="U193" t="s">
        <v>363</v>
      </c>
      <c r="V193" t="s">
        <v>43</v>
      </c>
      <c r="W193" t="s">
        <v>364</v>
      </c>
      <c r="X193" t="s">
        <v>365</v>
      </c>
      <c r="Y193" t="s">
        <v>165</v>
      </c>
    </row>
    <row r="194" spans="1:25" x14ac:dyDescent="0.3">
      <c r="A194">
        <v>10102</v>
      </c>
      <c r="B194">
        <v>39</v>
      </c>
      <c r="C194">
        <v>100</v>
      </c>
      <c r="D194">
        <v>2</v>
      </c>
      <c r="E194">
        <v>4808.3100000000004</v>
      </c>
      <c r="F194" s="1">
        <v>37895</v>
      </c>
      <c r="G194" t="s">
        <v>26</v>
      </c>
      <c r="H194">
        <v>1</v>
      </c>
      <c r="I194">
        <v>1</v>
      </c>
      <c r="J194">
        <v>2003</v>
      </c>
      <c r="K194" t="s">
        <v>630</v>
      </c>
      <c r="L194">
        <v>102</v>
      </c>
      <c r="M194" t="s">
        <v>631</v>
      </c>
      <c r="N194" t="s">
        <v>105</v>
      </c>
      <c r="O194">
        <v>2125551500</v>
      </c>
      <c r="P194" t="s">
        <v>106</v>
      </c>
      <c r="Q194" t="s">
        <v>107</v>
      </c>
      <c r="R194" t="s">
        <v>31</v>
      </c>
      <c r="S194" t="s">
        <v>32</v>
      </c>
      <c r="T194">
        <v>10022</v>
      </c>
      <c r="U194" t="s">
        <v>33</v>
      </c>
      <c r="V194" t="s">
        <v>34</v>
      </c>
      <c r="W194" t="s">
        <v>108</v>
      </c>
      <c r="X194" t="s">
        <v>109</v>
      </c>
      <c r="Y194" t="s">
        <v>52</v>
      </c>
    </row>
    <row r="195" spans="1:25" x14ac:dyDescent="0.3">
      <c r="A195">
        <v>10111</v>
      </c>
      <c r="B195">
        <v>33</v>
      </c>
      <c r="C195">
        <v>99.66</v>
      </c>
      <c r="D195">
        <v>6</v>
      </c>
      <c r="E195">
        <v>3288.78</v>
      </c>
      <c r="F195" t="s">
        <v>632</v>
      </c>
      <c r="G195" t="s">
        <v>26</v>
      </c>
      <c r="H195">
        <v>1</v>
      </c>
      <c r="I195">
        <v>3</v>
      </c>
      <c r="J195">
        <v>2003</v>
      </c>
      <c r="K195" t="s">
        <v>630</v>
      </c>
      <c r="L195">
        <v>102</v>
      </c>
      <c r="M195" t="s">
        <v>631</v>
      </c>
      <c r="N195" t="s">
        <v>85</v>
      </c>
      <c r="O195">
        <v>6505555787</v>
      </c>
      <c r="P195" t="s">
        <v>86</v>
      </c>
      <c r="R195" t="s">
        <v>62</v>
      </c>
      <c r="S195" t="s">
        <v>57</v>
      </c>
      <c r="U195" t="s">
        <v>33</v>
      </c>
      <c r="V195" t="s">
        <v>34</v>
      </c>
      <c r="W195" t="s">
        <v>87</v>
      </c>
      <c r="X195" t="s">
        <v>59</v>
      </c>
      <c r="Y195" t="s">
        <v>52</v>
      </c>
    </row>
    <row r="196" spans="1:25" x14ac:dyDescent="0.3">
      <c r="A196">
        <v>10125</v>
      </c>
      <c r="B196">
        <v>32</v>
      </c>
      <c r="C196">
        <v>100</v>
      </c>
      <c r="D196">
        <v>1</v>
      </c>
      <c r="E196">
        <v>3254.72</v>
      </c>
      <c r="F196" t="s">
        <v>633</v>
      </c>
      <c r="G196" t="s">
        <v>26</v>
      </c>
      <c r="H196">
        <v>2</v>
      </c>
      <c r="I196">
        <v>5</v>
      </c>
      <c r="J196">
        <v>2003</v>
      </c>
      <c r="K196" t="s">
        <v>630</v>
      </c>
      <c r="L196">
        <v>102</v>
      </c>
      <c r="M196" t="s">
        <v>631</v>
      </c>
      <c r="N196" t="s">
        <v>95</v>
      </c>
      <c r="O196" t="s">
        <v>96</v>
      </c>
      <c r="P196" t="s">
        <v>97</v>
      </c>
      <c r="Q196" t="s">
        <v>98</v>
      </c>
      <c r="R196" t="s">
        <v>99</v>
      </c>
      <c r="S196" t="s">
        <v>100</v>
      </c>
      <c r="T196">
        <v>3004</v>
      </c>
      <c r="U196" t="s">
        <v>101</v>
      </c>
      <c r="V196" t="s">
        <v>102</v>
      </c>
      <c r="W196" t="s">
        <v>103</v>
      </c>
      <c r="X196" t="s">
        <v>104</v>
      </c>
      <c r="Y196" t="s">
        <v>52</v>
      </c>
    </row>
    <row r="197" spans="1:25" x14ac:dyDescent="0.3">
      <c r="A197">
        <v>10139</v>
      </c>
      <c r="B197">
        <v>31</v>
      </c>
      <c r="C197">
        <v>100</v>
      </c>
      <c r="D197">
        <v>7</v>
      </c>
      <c r="E197">
        <v>3184.94</v>
      </c>
      <c r="F197" t="s">
        <v>634</v>
      </c>
      <c r="G197" t="s">
        <v>26</v>
      </c>
      <c r="H197">
        <v>3</v>
      </c>
      <c r="I197">
        <v>7</v>
      </c>
      <c r="J197">
        <v>2003</v>
      </c>
      <c r="K197" t="s">
        <v>630</v>
      </c>
      <c r="L197">
        <v>102</v>
      </c>
      <c r="M197" t="s">
        <v>631</v>
      </c>
      <c r="N197" t="s">
        <v>167</v>
      </c>
      <c r="O197" t="s">
        <v>168</v>
      </c>
      <c r="P197" t="s">
        <v>169</v>
      </c>
      <c r="Q197" t="s">
        <v>170</v>
      </c>
      <c r="R197" t="s">
        <v>171</v>
      </c>
      <c r="S197" t="s">
        <v>172</v>
      </c>
      <c r="T197">
        <v>2067</v>
      </c>
      <c r="U197" t="s">
        <v>101</v>
      </c>
      <c r="V197" t="s">
        <v>102</v>
      </c>
      <c r="W197" t="s">
        <v>173</v>
      </c>
      <c r="X197" t="s">
        <v>174</v>
      </c>
      <c r="Y197" t="s">
        <v>52</v>
      </c>
    </row>
    <row r="198" spans="1:25" x14ac:dyDescent="0.3">
      <c r="A198">
        <v>10149</v>
      </c>
      <c r="B198">
        <v>50</v>
      </c>
      <c r="C198">
        <v>100</v>
      </c>
      <c r="D198">
        <v>4</v>
      </c>
      <c r="E198">
        <v>5907.5</v>
      </c>
      <c r="F198" s="1">
        <v>37964</v>
      </c>
      <c r="G198" t="s">
        <v>26</v>
      </c>
      <c r="H198">
        <v>3</v>
      </c>
      <c r="I198">
        <v>9</v>
      </c>
      <c r="J198">
        <v>2003</v>
      </c>
      <c r="K198" t="s">
        <v>630</v>
      </c>
      <c r="L198">
        <v>102</v>
      </c>
      <c r="M198" t="s">
        <v>631</v>
      </c>
      <c r="N198" t="s">
        <v>602</v>
      </c>
      <c r="O198">
        <v>4155554312</v>
      </c>
      <c r="P198" t="s">
        <v>603</v>
      </c>
      <c r="R198" t="s">
        <v>604</v>
      </c>
      <c r="S198" t="s">
        <v>57</v>
      </c>
      <c r="T198">
        <v>94217</v>
      </c>
      <c r="U198" t="s">
        <v>33</v>
      </c>
      <c r="V198" t="s">
        <v>34</v>
      </c>
      <c r="W198" t="s">
        <v>605</v>
      </c>
      <c r="X198" t="s">
        <v>451</v>
      </c>
      <c r="Y198" t="s">
        <v>52</v>
      </c>
    </row>
    <row r="199" spans="1:25" x14ac:dyDescent="0.3">
      <c r="A199">
        <v>10162</v>
      </c>
      <c r="B199">
        <v>48</v>
      </c>
      <c r="C199">
        <v>91.44</v>
      </c>
      <c r="D199">
        <v>2</v>
      </c>
      <c r="E199">
        <v>4389.12</v>
      </c>
      <c r="F199" t="s">
        <v>635</v>
      </c>
      <c r="G199" t="s">
        <v>26</v>
      </c>
      <c r="H199">
        <v>4</v>
      </c>
      <c r="I199">
        <v>10</v>
      </c>
      <c r="J199">
        <v>2003</v>
      </c>
      <c r="K199" t="s">
        <v>630</v>
      </c>
      <c r="L199">
        <v>102</v>
      </c>
      <c r="M199" t="s">
        <v>631</v>
      </c>
      <c r="N199" t="s">
        <v>60</v>
      </c>
      <c r="O199">
        <v>6505551386</v>
      </c>
      <c r="P199" t="s">
        <v>61</v>
      </c>
      <c r="R199" t="s">
        <v>62</v>
      </c>
      <c r="S199" t="s">
        <v>57</v>
      </c>
      <c r="U199" t="s">
        <v>33</v>
      </c>
      <c r="V199" t="s">
        <v>34</v>
      </c>
      <c r="W199" t="s">
        <v>63</v>
      </c>
      <c r="X199" t="s">
        <v>59</v>
      </c>
      <c r="Y199" t="s">
        <v>52</v>
      </c>
    </row>
    <row r="200" spans="1:25" x14ac:dyDescent="0.3">
      <c r="A200">
        <v>10173</v>
      </c>
      <c r="B200">
        <v>43</v>
      </c>
      <c r="C200">
        <v>100</v>
      </c>
      <c r="D200">
        <v>6</v>
      </c>
      <c r="E200">
        <v>5036.16</v>
      </c>
      <c r="F200" s="1">
        <v>37752</v>
      </c>
      <c r="G200" t="s">
        <v>26</v>
      </c>
      <c r="H200">
        <v>4</v>
      </c>
      <c r="I200">
        <v>11</v>
      </c>
      <c r="J200">
        <v>2003</v>
      </c>
      <c r="K200" t="s">
        <v>630</v>
      </c>
      <c r="L200">
        <v>102</v>
      </c>
      <c r="M200" t="s">
        <v>631</v>
      </c>
      <c r="N200" t="s">
        <v>636</v>
      </c>
      <c r="O200" t="s">
        <v>637</v>
      </c>
      <c r="P200" t="s">
        <v>638</v>
      </c>
      <c r="R200" t="s">
        <v>639</v>
      </c>
      <c r="T200">
        <v>24100</v>
      </c>
      <c r="U200" t="s">
        <v>286</v>
      </c>
      <c r="V200" t="s">
        <v>43</v>
      </c>
      <c r="W200" t="s">
        <v>640</v>
      </c>
      <c r="X200" t="s">
        <v>641</v>
      </c>
      <c r="Y200" t="s">
        <v>52</v>
      </c>
    </row>
    <row r="201" spans="1:25" x14ac:dyDescent="0.3">
      <c r="A201">
        <v>10182</v>
      </c>
      <c r="B201">
        <v>25</v>
      </c>
      <c r="C201">
        <v>87.33</v>
      </c>
      <c r="D201">
        <v>3</v>
      </c>
      <c r="E201">
        <v>2183.25</v>
      </c>
      <c r="F201" s="1">
        <v>37966</v>
      </c>
      <c r="G201" t="s">
        <v>26</v>
      </c>
      <c r="H201">
        <v>4</v>
      </c>
      <c r="I201">
        <v>11</v>
      </c>
      <c r="J201">
        <v>2003</v>
      </c>
      <c r="K201" t="s">
        <v>630</v>
      </c>
      <c r="L201">
        <v>102</v>
      </c>
      <c r="M201" t="s">
        <v>631</v>
      </c>
      <c r="N201" t="s">
        <v>301</v>
      </c>
      <c r="O201">
        <v>4155551450</v>
      </c>
      <c r="P201" t="s">
        <v>302</v>
      </c>
      <c r="R201" t="s">
        <v>303</v>
      </c>
      <c r="S201" t="s">
        <v>57</v>
      </c>
      <c r="T201">
        <v>97562</v>
      </c>
      <c r="U201" t="s">
        <v>33</v>
      </c>
      <c r="V201" t="s">
        <v>34</v>
      </c>
      <c r="W201" t="s">
        <v>304</v>
      </c>
      <c r="X201" t="s">
        <v>305</v>
      </c>
      <c r="Y201" t="s">
        <v>37</v>
      </c>
    </row>
    <row r="202" spans="1:25" x14ac:dyDescent="0.3">
      <c r="A202">
        <v>10193</v>
      </c>
      <c r="B202">
        <v>28</v>
      </c>
      <c r="C202">
        <v>100</v>
      </c>
      <c r="D202">
        <v>7</v>
      </c>
      <c r="E202">
        <v>3106.88</v>
      </c>
      <c r="F202" t="s">
        <v>642</v>
      </c>
      <c r="G202" t="s">
        <v>26</v>
      </c>
      <c r="H202">
        <v>4</v>
      </c>
      <c r="I202">
        <v>11</v>
      </c>
      <c r="J202">
        <v>2003</v>
      </c>
      <c r="K202" t="s">
        <v>630</v>
      </c>
      <c r="L202">
        <v>102</v>
      </c>
      <c r="M202" t="s">
        <v>631</v>
      </c>
      <c r="N202" t="s">
        <v>643</v>
      </c>
      <c r="O202" t="s">
        <v>644</v>
      </c>
      <c r="P202" t="s">
        <v>645</v>
      </c>
      <c r="R202" t="s">
        <v>646</v>
      </c>
      <c r="S202" t="s">
        <v>100</v>
      </c>
      <c r="T202">
        <v>3150</v>
      </c>
      <c r="U202" t="s">
        <v>101</v>
      </c>
      <c r="V202" t="s">
        <v>102</v>
      </c>
      <c r="W202" t="s">
        <v>647</v>
      </c>
      <c r="X202" t="s">
        <v>648</v>
      </c>
      <c r="Y202" t="s">
        <v>52</v>
      </c>
    </row>
    <row r="203" spans="1:25" x14ac:dyDescent="0.3">
      <c r="A203">
        <v>10205</v>
      </c>
      <c r="B203">
        <v>36</v>
      </c>
      <c r="C203">
        <v>100</v>
      </c>
      <c r="D203">
        <v>2</v>
      </c>
      <c r="E203">
        <v>3735.72</v>
      </c>
      <c r="F203" s="1">
        <v>37692</v>
      </c>
      <c r="G203" t="s">
        <v>26</v>
      </c>
      <c r="H203">
        <v>4</v>
      </c>
      <c r="I203">
        <v>12</v>
      </c>
      <c r="J203">
        <v>2003</v>
      </c>
      <c r="K203" t="s">
        <v>630</v>
      </c>
      <c r="L203">
        <v>102</v>
      </c>
      <c r="M203" t="s">
        <v>631</v>
      </c>
      <c r="N203" t="s">
        <v>190</v>
      </c>
      <c r="O203" t="s">
        <v>191</v>
      </c>
      <c r="P203" t="s">
        <v>192</v>
      </c>
      <c r="R203" t="s">
        <v>193</v>
      </c>
      <c r="T203">
        <v>28034</v>
      </c>
      <c r="U203" t="s">
        <v>194</v>
      </c>
      <c r="V203" t="s">
        <v>43</v>
      </c>
      <c r="W203" t="s">
        <v>195</v>
      </c>
      <c r="X203" t="s">
        <v>196</v>
      </c>
      <c r="Y203" t="s">
        <v>52</v>
      </c>
    </row>
    <row r="204" spans="1:25" x14ac:dyDescent="0.3">
      <c r="A204">
        <v>10227</v>
      </c>
      <c r="B204">
        <v>25</v>
      </c>
      <c r="C204">
        <v>100</v>
      </c>
      <c r="D204">
        <v>3</v>
      </c>
      <c r="E204">
        <v>2953.75</v>
      </c>
      <c r="F204" s="1">
        <v>38020</v>
      </c>
      <c r="G204" t="s">
        <v>26</v>
      </c>
      <c r="H204">
        <v>1</v>
      </c>
      <c r="I204">
        <v>3</v>
      </c>
      <c r="J204">
        <v>2004</v>
      </c>
      <c r="K204" t="s">
        <v>630</v>
      </c>
      <c r="L204">
        <v>102</v>
      </c>
      <c r="M204" t="s">
        <v>631</v>
      </c>
      <c r="N204" t="s">
        <v>243</v>
      </c>
      <c r="O204" t="s">
        <v>244</v>
      </c>
      <c r="P204" t="s">
        <v>245</v>
      </c>
      <c r="R204" t="s">
        <v>246</v>
      </c>
      <c r="T204">
        <v>69004</v>
      </c>
      <c r="U204" t="s">
        <v>42</v>
      </c>
      <c r="V204" t="s">
        <v>43</v>
      </c>
      <c r="W204" t="s">
        <v>247</v>
      </c>
      <c r="X204" t="s">
        <v>248</v>
      </c>
      <c r="Y204" t="s">
        <v>37</v>
      </c>
    </row>
    <row r="205" spans="1:25" x14ac:dyDescent="0.3">
      <c r="A205">
        <v>10244</v>
      </c>
      <c r="B205">
        <v>40</v>
      </c>
      <c r="C205">
        <v>100</v>
      </c>
      <c r="D205">
        <v>7</v>
      </c>
      <c r="E205">
        <v>4684.8</v>
      </c>
      <c r="F205" t="s">
        <v>649</v>
      </c>
      <c r="G205" t="s">
        <v>26</v>
      </c>
      <c r="H205">
        <v>2</v>
      </c>
      <c r="I205">
        <v>4</v>
      </c>
      <c r="J205">
        <v>2004</v>
      </c>
      <c r="K205" t="s">
        <v>630</v>
      </c>
      <c r="L205">
        <v>102</v>
      </c>
      <c r="M205" t="s">
        <v>631</v>
      </c>
      <c r="N205" t="s">
        <v>190</v>
      </c>
      <c r="O205" t="s">
        <v>191</v>
      </c>
      <c r="P205" t="s">
        <v>192</v>
      </c>
      <c r="R205" t="s">
        <v>193</v>
      </c>
      <c r="T205">
        <v>28034</v>
      </c>
      <c r="U205" t="s">
        <v>194</v>
      </c>
      <c r="V205" t="s">
        <v>43</v>
      </c>
      <c r="W205" t="s">
        <v>195</v>
      </c>
      <c r="X205" t="s">
        <v>196</v>
      </c>
      <c r="Y205" t="s">
        <v>52</v>
      </c>
    </row>
    <row r="206" spans="1:25" x14ac:dyDescent="0.3">
      <c r="A206">
        <v>10256</v>
      </c>
      <c r="B206">
        <v>34</v>
      </c>
      <c r="C206">
        <v>95.55</v>
      </c>
      <c r="D206">
        <v>2</v>
      </c>
      <c r="E206">
        <v>3248.7</v>
      </c>
      <c r="F206" s="1">
        <v>38205</v>
      </c>
      <c r="G206" t="s">
        <v>26</v>
      </c>
      <c r="H206">
        <v>2</v>
      </c>
      <c r="I206">
        <v>6</v>
      </c>
      <c r="J206">
        <v>2004</v>
      </c>
      <c r="K206" t="s">
        <v>630</v>
      </c>
      <c r="L206">
        <v>102</v>
      </c>
      <c r="M206" t="s">
        <v>631</v>
      </c>
      <c r="N206" t="s">
        <v>359</v>
      </c>
      <c r="O206" t="s">
        <v>360</v>
      </c>
      <c r="P206" t="s">
        <v>361</v>
      </c>
      <c r="R206" t="s">
        <v>362</v>
      </c>
      <c r="T206">
        <v>1734</v>
      </c>
      <c r="U206" t="s">
        <v>363</v>
      </c>
      <c r="V206" t="s">
        <v>43</v>
      </c>
      <c r="W206" t="s">
        <v>364</v>
      </c>
      <c r="X206" t="s">
        <v>365</v>
      </c>
      <c r="Y206" t="s">
        <v>52</v>
      </c>
    </row>
    <row r="207" spans="1:25" x14ac:dyDescent="0.3">
      <c r="A207">
        <v>10289</v>
      </c>
      <c r="B207">
        <v>38</v>
      </c>
      <c r="C207">
        <v>100</v>
      </c>
      <c r="D207">
        <v>2</v>
      </c>
      <c r="E207">
        <v>4567.9799999999996</v>
      </c>
      <c r="F207" s="1">
        <v>38055</v>
      </c>
      <c r="G207" t="s">
        <v>26</v>
      </c>
      <c r="H207">
        <v>3</v>
      </c>
      <c r="I207">
        <v>9</v>
      </c>
      <c r="J207">
        <v>2004</v>
      </c>
      <c r="K207" t="s">
        <v>630</v>
      </c>
      <c r="L207">
        <v>102</v>
      </c>
      <c r="M207" t="s">
        <v>631</v>
      </c>
      <c r="N207" t="s">
        <v>77</v>
      </c>
      <c r="O207" t="s">
        <v>78</v>
      </c>
      <c r="P207" t="s">
        <v>79</v>
      </c>
      <c r="R207" t="s">
        <v>80</v>
      </c>
      <c r="T207" t="s">
        <v>81</v>
      </c>
      <c r="U207" t="s">
        <v>82</v>
      </c>
      <c r="V207" t="s">
        <v>43</v>
      </c>
      <c r="W207" t="s">
        <v>83</v>
      </c>
      <c r="X207" t="s">
        <v>84</v>
      </c>
      <c r="Y207" t="s">
        <v>52</v>
      </c>
    </row>
    <row r="208" spans="1:25" x14ac:dyDescent="0.3">
      <c r="A208">
        <v>10332</v>
      </c>
      <c r="B208">
        <v>46</v>
      </c>
      <c r="C208">
        <v>95.13</v>
      </c>
      <c r="D208">
        <v>15</v>
      </c>
      <c r="E208">
        <v>4375.9799999999996</v>
      </c>
      <c r="F208" t="s">
        <v>628</v>
      </c>
      <c r="G208" t="s">
        <v>26</v>
      </c>
      <c r="H208">
        <v>4</v>
      </c>
      <c r="I208">
        <v>11</v>
      </c>
      <c r="J208">
        <v>2004</v>
      </c>
      <c r="K208" t="s">
        <v>630</v>
      </c>
      <c r="L208">
        <v>102</v>
      </c>
      <c r="M208" t="s">
        <v>631</v>
      </c>
      <c r="N208" t="s">
        <v>558</v>
      </c>
      <c r="O208" t="s">
        <v>559</v>
      </c>
      <c r="P208" t="s">
        <v>560</v>
      </c>
      <c r="R208" t="s">
        <v>561</v>
      </c>
      <c r="T208" t="s">
        <v>562</v>
      </c>
      <c r="U208" t="s">
        <v>185</v>
      </c>
      <c r="V208" t="s">
        <v>43</v>
      </c>
      <c r="W208" t="s">
        <v>563</v>
      </c>
      <c r="X208" t="s">
        <v>100</v>
      </c>
      <c r="Y208" t="s">
        <v>52</v>
      </c>
    </row>
    <row r="209" spans="1:25" x14ac:dyDescent="0.3">
      <c r="A209">
        <v>10346</v>
      </c>
      <c r="B209">
        <v>42</v>
      </c>
      <c r="C209">
        <v>36.11</v>
      </c>
      <c r="D209">
        <v>3</v>
      </c>
      <c r="E209">
        <v>1516.62</v>
      </c>
      <c r="F209" t="s">
        <v>311</v>
      </c>
      <c r="G209" t="s">
        <v>26</v>
      </c>
      <c r="H209">
        <v>4</v>
      </c>
      <c r="I209">
        <v>11</v>
      </c>
      <c r="J209">
        <v>2004</v>
      </c>
      <c r="K209" t="s">
        <v>630</v>
      </c>
      <c r="L209">
        <v>102</v>
      </c>
      <c r="M209" t="s">
        <v>631</v>
      </c>
      <c r="N209" t="s">
        <v>617</v>
      </c>
      <c r="O209">
        <v>7025551838</v>
      </c>
      <c r="P209" t="s">
        <v>618</v>
      </c>
      <c r="R209" t="s">
        <v>619</v>
      </c>
      <c r="S209" t="s">
        <v>620</v>
      </c>
      <c r="T209">
        <v>83030</v>
      </c>
      <c r="U209" t="s">
        <v>33</v>
      </c>
      <c r="V209" t="s">
        <v>34</v>
      </c>
      <c r="W209" t="s">
        <v>121</v>
      </c>
      <c r="X209" t="s">
        <v>451</v>
      </c>
      <c r="Y209" t="s">
        <v>37</v>
      </c>
    </row>
    <row r="210" spans="1:25" x14ac:dyDescent="0.3">
      <c r="A210">
        <v>10380</v>
      </c>
      <c r="B210">
        <v>27</v>
      </c>
      <c r="C210">
        <v>93.16</v>
      </c>
      <c r="D210">
        <v>13</v>
      </c>
      <c r="E210">
        <v>2515.3200000000002</v>
      </c>
      <c r="F210" t="s">
        <v>650</v>
      </c>
      <c r="G210" t="s">
        <v>26</v>
      </c>
      <c r="H210">
        <v>1</v>
      </c>
      <c r="I210">
        <v>2</v>
      </c>
      <c r="J210">
        <v>2005</v>
      </c>
      <c r="K210" t="s">
        <v>630</v>
      </c>
      <c r="L210">
        <v>102</v>
      </c>
      <c r="M210" t="s">
        <v>631</v>
      </c>
      <c r="N210" t="s">
        <v>190</v>
      </c>
      <c r="O210" t="s">
        <v>191</v>
      </c>
      <c r="P210" t="s">
        <v>192</v>
      </c>
      <c r="R210" t="s">
        <v>193</v>
      </c>
      <c r="T210">
        <v>28034</v>
      </c>
      <c r="U210" t="s">
        <v>194</v>
      </c>
      <c r="V210" t="s">
        <v>43</v>
      </c>
      <c r="W210" t="s">
        <v>195</v>
      </c>
      <c r="X210" t="s">
        <v>196</v>
      </c>
      <c r="Y210" t="s">
        <v>37</v>
      </c>
    </row>
    <row r="211" spans="1:25" x14ac:dyDescent="0.3">
      <c r="A211">
        <v>10422</v>
      </c>
      <c r="B211">
        <v>51</v>
      </c>
      <c r="C211">
        <v>95.55</v>
      </c>
      <c r="D211">
        <v>2</v>
      </c>
      <c r="E211">
        <v>4873.05</v>
      </c>
      <c r="F211" t="s">
        <v>651</v>
      </c>
      <c r="G211" t="s">
        <v>334</v>
      </c>
      <c r="H211">
        <v>2</v>
      </c>
      <c r="I211">
        <v>5</v>
      </c>
      <c r="J211">
        <v>2005</v>
      </c>
      <c r="K211" t="s">
        <v>630</v>
      </c>
      <c r="L211">
        <v>102</v>
      </c>
      <c r="M211" t="s">
        <v>631</v>
      </c>
      <c r="N211" t="s">
        <v>151</v>
      </c>
      <c r="O211">
        <v>2155551555</v>
      </c>
      <c r="P211" t="s">
        <v>152</v>
      </c>
      <c r="R211" t="s">
        <v>153</v>
      </c>
      <c r="S211" t="s">
        <v>154</v>
      </c>
      <c r="T211">
        <v>70267</v>
      </c>
      <c r="U211" t="s">
        <v>33</v>
      </c>
      <c r="V211" t="s">
        <v>34</v>
      </c>
      <c r="W211" t="s">
        <v>35</v>
      </c>
      <c r="X211" t="s">
        <v>155</v>
      </c>
      <c r="Y211" t="s">
        <v>52</v>
      </c>
    </row>
    <row r="212" spans="1:25" x14ac:dyDescent="0.3">
      <c r="A212">
        <v>10110</v>
      </c>
      <c r="B212">
        <v>37</v>
      </c>
      <c r="C212">
        <v>100</v>
      </c>
      <c r="D212">
        <v>16</v>
      </c>
      <c r="E212">
        <v>5433.08</v>
      </c>
      <c r="F212" t="s">
        <v>652</v>
      </c>
      <c r="G212" t="s">
        <v>26</v>
      </c>
      <c r="H212">
        <v>1</v>
      </c>
      <c r="I212">
        <v>3</v>
      </c>
      <c r="J212">
        <v>2003</v>
      </c>
      <c r="K212" t="s">
        <v>198</v>
      </c>
      <c r="L212">
        <v>124</v>
      </c>
      <c r="M212" t="s">
        <v>653</v>
      </c>
      <c r="N212" t="s">
        <v>558</v>
      </c>
      <c r="O212" t="s">
        <v>559</v>
      </c>
      <c r="P212" t="s">
        <v>560</v>
      </c>
      <c r="R212" t="s">
        <v>561</v>
      </c>
      <c r="T212" t="s">
        <v>562</v>
      </c>
      <c r="U212" t="s">
        <v>185</v>
      </c>
      <c r="V212" t="s">
        <v>43</v>
      </c>
      <c r="W212" t="s">
        <v>563</v>
      </c>
      <c r="X212" t="s">
        <v>100</v>
      </c>
      <c r="Y212" t="s">
        <v>52</v>
      </c>
    </row>
    <row r="213" spans="1:25" x14ac:dyDescent="0.3">
      <c r="A213">
        <v>10123</v>
      </c>
      <c r="B213">
        <v>26</v>
      </c>
      <c r="C213">
        <v>100</v>
      </c>
      <c r="D213">
        <v>2</v>
      </c>
      <c r="E213">
        <v>3073.72</v>
      </c>
      <c r="F213" t="s">
        <v>654</v>
      </c>
      <c r="G213" t="s">
        <v>26</v>
      </c>
      <c r="H213">
        <v>2</v>
      </c>
      <c r="I213">
        <v>5</v>
      </c>
      <c r="J213">
        <v>2003</v>
      </c>
      <c r="K213" t="s">
        <v>198</v>
      </c>
      <c r="L213">
        <v>124</v>
      </c>
      <c r="M213" t="s">
        <v>653</v>
      </c>
      <c r="N213" t="s">
        <v>348</v>
      </c>
      <c r="O213" t="s">
        <v>349</v>
      </c>
      <c r="P213" t="s">
        <v>350</v>
      </c>
      <c r="R213" t="s">
        <v>126</v>
      </c>
      <c r="T213">
        <v>44000</v>
      </c>
      <c r="U213" t="s">
        <v>42</v>
      </c>
      <c r="V213" t="s">
        <v>43</v>
      </c>
      <c r="W213" t="s">
        <v>351</v>
      </c>
      <c r="X213" t="s">
        <v>352</v>
      </c>
      <c r="Y213" t="s">
        <v>52</v>
      </c>
    </row>
    <row r="214" spans="1:25" x14ac:dyDescent="0.3">
      <c r="A214">
        <v>10137</v>
      </c>
      <c r="B214">
        <v>44</v>
      </c>
      <c r="C214">
        <v>99.55</v>
      </c>
      <c r="D214">
        <v>2</v>
      </c>
      <c r="E214">
        <v>4380.2</v>
      </c>
      <c r="F214" s="1">
        <v>37901</v>
      </c>
      <c r="G214" t="s">
        <v>26</v>
      </c>
      <c r="H214">
        <v>3</v>
      </c>
      <c r="I214">
        <v>7</v>
      </c>
      <c r="J214">
        <v>2003</v>
      </c>
      <c r="K214" t="s">
        <v>198</v>
      </c>
      <c r="L214">
        <v>124</v>
      </c>
      <c r="M214" t="s">
        <v>653</v>
      </c>
      <c r="N214" t="s">
        <v>38</v>
      </c>
      <c r="O214" t="s">
        <v>39</v>
      </c>
      <c r="P214" t="s">
        <v>40</v>
      </c>
      <c r="R214" t="s">
        <v>41</v>
      </c>
      <c r="T214">
        <v>51100</v>
      </c>
      <c r="U214" t="s">
        <v>42</v>
      </c>
      <c r="V214" t="s">
        <v>43</v>
      </c>
      <c r="W214" t="s">
        <v>44</v>
      </c>
      <c r="X214" t="s">
        <v>45</v>
      </c>
      <c r="Y214" t="s">
        <v>52</v>
      </c>
    </row>
    <row r="215" spans="1:25" x14ac:dyDescent="0.3">
      <c r="A215">
        <v>10172</v>
      </c>
      <c r="B215">
        <v>42</v>
      </c>
      <c r="C215">
        <v>100</v>
      </c>
      <c r="D215">
        <v>6</v>
      </c>
      <c r="E215">
        <v>4965.24</v>
      </c>
      <c r="F215" s="1">
        <v>37752</v>
      </c>
      <c r="G215" t="s">
        <v>26</v>
      </c>
      <c r="H215">
        <v>4</v>
      </c>
      <c r="I215">
        <v>11</v>
      </c>
      <c r="J215">
        <v>2003</v>
      </c>
      <c r="K215" t="s">
        <v>198</v>
      </c>
      <c r="L215">
        <v>124</v>
      </c>
      <c r="M215" t="s">
        <v>653</v>
      </c>
      <c r="N215" t="s">
        <v>117</v>
      </c>
      <c r="O215">
        <v>2035552570</v>
      </c>
      <c r="P215" t="s">
        <v>118</v>
      </c>
      <c r="R215" t="s">
        <v>119</v>
      </c>
      <c r="S215" t="s">
        <v>120</v>
      </c>
      <c r="T215">
        <v>97562</v>
      </c>
      <c r="U215" t="s">
        <v>33</v>
      </c>
      <c r="V215" t="s">
        <v>34</v>
      </c>
      <c r="W215" t="s">
        <v>121</v>
      </c>
      <c r="X215" t="s">
        <v>59</v>
      </c>
      <c r="Y215" t="s">
        <v>52</v>
      </c>
    </row>
    <row r="216" spans="1:25" x14ac:dyDescent="0.3">
      <c r="A216">
        <v>10226</v>
      </c>
      <c r="B216">
        <v>38</v>
      </c>
      <c r="C216">
        <v>100</v>
      </c>
      <c r="D216">
        <v>4</v>
      </c>
      <c r="E216">
        <v>4161.38</v>
      </c>
      <c r="F216" t="s">
        <v>655</v>
      </c>
      <c r="G216" t="s">
        <v>26</v>
      </c>
      <c r="H216">
        <v>1</v>
      </c>
      <c r="I216">
        <v>2</v>
      </c>
      <c r="J216">
        <v>2004</v>
      </c>
      <c r="K216" t="s">
        <v>198</v>
      </c>
      <c r="L216">
        <v>124</v>
      </c>
      <c r="M216" t="s">
        <v>653</v>
      </c>
      <c r="N216" t="s">
        <v>404</v>
      </c>
      <c r="O216">
        <v>7605558146</v>
      </c>
      <c r="P216" t="s">
        <v>405</v>
      </c>
      <c r="R216" t="s">
        <v>406</v>
      </c>
      <c r="S216" t="s">
        <v>57</v>
      </c>
      <c r="T216">
        <v>91217</v>
      </c>
      <c r="U216" t="s">
        <v>33</v>
      </c>
      <c r="V216" t="s">
        <v>34</v>
      </c>
      <c r="W216" t="s">
        <v>262</v>
      </c>
      <c r="X216" t="s">
        <v>305</v>
      </c>
      <c r="Y216" t="s">
        <v>52</v>
      </c>
    </row>
    <row r="217" spans="1:25" x14ac:dyDescent="0.3">
      <c r="A217">
        <v>10241</v>
      </c>
      <c r="B217">
        <v>21</v>
      </c>
      <c r="C217">
        <v>100</v>
      </c>
      <c r="D217">
        <v>11</v>
      </c>
      <c r="E217">
        <v>2508.66</v>
      </c>
      <c r="F217" t="s">
        <v>616</v>
      </c>
      <c r="G217" t="s">
        <v>26</v>
      </c>
      <c r="H217">
        <v>2</v>
      </c>
      <c r="I217">
        <v>4</v>
      </c>
      <c r="J217">
        <v>2004</v>
      </c>
      <c r="K217" t="s">
        <v>198</v>
      </c>
      <c r="L217">
        <v>124</v>
      </c>
      <c r="M217" t="s">
        <v>653</v>
      </c>
      <c r="N217" t="s">
        <v>608</v>
      </c>
      <c r="O217" t="s">
        <v>609</v>
      </c>
      <c r="P217" t="s">
        <v>610</v>
      </c>
      <c r="R217" t="s">
        <v>611</v>
      </c>
      <c r="T217">
        <v>67000</v>
      </c>
      <c r="U217" t="s">
        <v>42</v>
      </c>
      <c r="V217" t="s">
        <v>43</v>
      </c>
      <c r="W217" t="s">
        <v>612</v>
      </c>
      <c r="X217" t="s">
        <v>613</v>
      </c>
      <c r="Y217" t="s">
        <v>37</v>
      </c>
    </row>
    <row r="218" spans="1:25" x14ac:dyDescent="0.3">
      <c r="A218">
        <v>10288</v>
      </c>
      <c r="B218">
        <v>20</v>
      </c>
      <c r="C218">
        <v>100</v>
      </c>
      <c r="D218">
        <v>14</v>
      </c>
      <c r="E218">
        <v>2936.8</v>
      </c>
      <c r="F218" s="1">
        <v>37995</v>
      </c>
      <c r="G218" t="s">
        <v>26</v>
      </c>
      <c r="H218">
        <v>3</v>
      </c>
      <c r="I218">
        <v>9</v>
      </c>
      <c r="J218">
        <v>2004</v>
      </c>
      <c r="K218" t="s">
        <v>198</v>
      </c>
      <c r="L218">
        <v>124</v>
      </c>
      <c r="M218" t="s">
        <v>653</v>
      </c>
      <c r="N218" t="s">
        <v>470</v>
      </c>
      <c r="O218" t="s">
        <v>471</v>
      </c>
      <c r="P218" t="s">
        <v>472</v>
      </c>
      <c r="Q218" t="s">
        <v>473</v>
      </c>
      <c r="R218" t="s">
        <v>220</v>
      </c>
      <c r="T218">
        <v>69045</v>
      </c>
      <c r="U218" t="s">
        <v>220</v>
      </c>
      <c r="V218" t="s">
        <v>102</v>
      </c>
      <c r="W218" t="s">
        <v>474</v>
      </c>
      <c r="X218" t="s">
        <v>475</v>
      </c>
      <c r="Y218" t="s">
        <v>37</v>
      </c>
    </row>
    <row r="219" spans="1:25" x14ac:dyDescent="0.3">
      <c r="A219">
        <v>10311</v>
      </c>
      <c r="B219">
        <v>29</v>
      </c>
      <c r="C219">
        <v>100</v>
      </c>
      <c r="D219">
        <v>9</v>
      </c>
      <c r="E219">
        <v>2923.2</v>
      </c>
      <c r="F219" t="s">
        <v>526</v>
      </c>
      <c r="G219" t="s">
        <v>26</v>
      </c>
      <c r="H219">
        <v>4</v>
      </c>
      <c r="I219">
        <v>10</v>
      </c>
      <c r="J219">
        <v>2004</v>
      </c>
      <c r="K219" t="s">
        <v>198</v>
      </c>
      <c r="L219">
        <v>124</v>
      </c>
      <c r="M219" t="s">
        <v>653</v>
      </c>
      <c r="N219" t="s">
        <v>190</v>
      </c>
      <c r="O219" t="s">
        <v>191</v>
      </c>
      <c r="P219" t="s">
        <v>192</v>
      </c>
      <c r="R219" t="s">
        <v>193</v>
      </c>
      <c r="T219">
        <v>28034</v>
      </c>
      <c r="U219" t="s">
        <v>194</v>
      </c>
      <c r="V219" t="s">
        <v>43</v>
      </c>
      <c r="W219" t="s">
        <v>195</v>
      </c>
      <c r="X219" t="s">
        <v>196</v>
      </c>
      <c r="Y219" t="s">
        <v>37</v>
      </c>
    </row>
    <row r="220" spans="1:25" x14ac:dyDescent="0.3">
      <c r="A220">
        <v>10343</v>
      </c>
      <c r="B220">
        <v>36</v>
      </c>
      <c r="C220">
        <v>100</v>
      </c>
      <c r="D220">
        <v>4</v>
      </c>
      <c r="E220">
        <v>5848.92</v>
      </c>
      <c r="F220" t="s">
        <v>157</v>
      </c>
      <c r="G220" t="s">
        <v>26</v>
      </c>
      <c r="H220">
        <v>4</v>
      </c>
      <c r="I220">
        <v>11</v>
      </c>
      <c r="J220">
        <v>2004</v>
      </c>
      <c r="K220" t="s">
        <v>198</v>
      </c>
      <c r="L220">
        <v>124</v>
      </c>
      <c r="M220" t="s">
        <v>653</v>
      </c>
      <c r="N220" t="s">
        <v>38</v>
      </c>
      <c r="O220" t="s">
        <v>39</v>
      </c>
      <c r="P220" t="s">
        <v>40</v>
      </c>
      <c r="R220" t="s">
        <v>41</v>
      </c>
      <c r="T220">
        <v>51100</v>
      </c>
      <c r="U220" t="s">
        <v>42</v>
      </c>
      <c r="V220" t="s">
        <v>43</v>
      </c>
      <c r="W220" t="s">
        <v>44</v>
      </c>
      <c r="X220" t="s">
        <v>45</v>
      </c>
      <c r="Y220" t="s">
        <v>52</v>
      </c>
    </row>
    <row r="221" spans="1:25" x14ac:dyDescent="0.3">
      <c r="A221">
        <v>10367</v>
      </c>
      <c r="B221">
        <v>49</v>
      </c>
      <c r="C221">
        <v>56.3</v>
      </c>
      <c r="D221">
        <v>1</v>
      </c>
      <c r="E221">
        <v>2758.7</v>
      </c>
      <c r="F221" s="1">
        <v>38687</v>
      </c>
      <c r="G221" t="s">
        <v>460</v>
      </c>
      <c r="H221">
        <v>1</v>
      </c>
      <c r="I221">
        <v>1</v>
      </c>
      <c r="J221">
        <v>2005</v>
      </c>
      <c r="K221" t="s">
        <v>198</v>
      </c>
      <c r="L221">
        <v>124</v>
      </c>
      <c r="M221" t="s">
        <v>653</v>
      </c>
      <c r="N221" t="s">
        <v>54</v>
      </c>
      <c r="O221">
        <v>6265557265</v>
      </c>
      <c r="P221" t="s">
        <v>55</v>
      </c>
      <c r="R221" t="s">
        <v>56</v>
      </c>
      <c r="S221" t="s">
        <v>57</v>
      </c>
      <c r="T221">
        <v>90003</v>
      </c>
      <c r="U221" t="s">
        <v>33</v>
      </c>
      <c r="V221" t="s">
        <v>34</v>
      </c>
      <c r="W221" t="s">
        <v>58</v>
      </c>
      <c r="X221" t="s">
        <v>59</v>
      </c>
      <c r="Y221" t="s">
        <v>37</v>
      </c>
    </row>
    <row r="222" spans="1:25" x14ac:dyDescent="0.3">
      <c r="A222">
        <v>10378</v>
      </c>
      <c r="B222">
        <v>34</v>
      </c>
      <c r="C222">
        <v>42.64</v>
      </c>
      <c r="D222">
        <v>5</v>
      </c>
      <c r="E222">
        <v>1449.76</v>
      </c>
      <c r="F222" s="1">
        <v>38627</v>
      </c>
      <c r="G222" t="s">
        <v>26</v>
      </c>
      <c r="H222">
        <v>1</v>
      </c>
      <c r="I222">
        <v>2</v>
      </c>
      <c r="J222">
        <v>2005</v>
      </c>
      <c r="K222" t="s">
        <v>198</v>
      </c>
      <c r="L222">
        <v>124</v>
      </c>
      <c r="M222" t="s">
        <v>653</v>
      </c>
      <c r="N222" t="s">
        <v>190</v>
      </c>
      <c r="O222" t="s">
        <v>191</v>
      </c>
      <c r="P222" t="s">
        <v>192</v>
      </c>
      <c r="R222" t="s">
        <v>193</v>
      </c>
      <c r="T222">
        <v>28034</v>
      </c>
      <c r="U222" t="s">
        <v>194</v>
      </c>
      <c r="V222" t="s">
        <v>43</v>
      </c>
      <c r="W222" t="s">
        <v>195</v>
      </c>
      <c r="X222" t="s">
        <v>196</v>
      </c>
      <c r="Y222" t="s">
        <v>37</v>
      </c>
    </row>
    <row r="223" spans="1:25" x14ac:dyDescent="0.3">
      <c r="A223">
        <v>10407</v>
      </c>
      <c r="B223">
        <v>59</v>
      </c>
      <c r="C223">
        <v>100</v>
      </c>
      <c r="D223">
        <v>11</v>
      </c>
      <c r="E223">
        <v>7048.14</v>
      </c>
      <c r="F223" t="s">
        <v>656</v>
      </c>
      <c r="G223" t="s">
        <v>452</v>
      </c>
      <c r="H223">
        <v>2</v>
      </c>
      <c r="I223">
        <v>4</v>
      </c>
      <c r="J223">
        <v>2005</v>
      </c>
      <c r="K223" t="s">
        <v>198</v>
      </c>
      <c r="L223">
        <v>124</v>
      </c>
      <c r="M223" t="s">
        <v>653</v>
      </c>
      <c r="N223" t="s">
        <v>448</v>
      </c>
      <c r="O223">
        <v>4085553659</v>
      </c>
      <c r="P223" t="s">
        <v>449</v>
      </c>
      <c r="R223" t="s">
        <v>450</v>
      </c>
      <c r="S223" t="s">
        <v>57</v>
      </c>
      <c r="T223">
        <v>94217</v>
      </c>
      <c r="U223" t="s">
        <v>33</v>
      </c>
      <c r="V223" t="s">
        <v>34</v>
      </c>
      <c r="W223" t="s">
        <v>108</v>
      </c>
      <c r="X223" t="s">
        <v>451</v>
      </c>
      <c r="Y223" t="s">
        <v>165</v>
      </c>
    </row>
    <row r="224" spans="1:25" x14ac:dyDescent="0.3">
      <c r="A224">
        <v>10106</v>
      </c>
      <c r="B224">
        <v>36</v>
      </c>
      <c r="C224">
        <v>100</v>
      </c>
      <c r="D224">
        <v>12</v>
      </c>
      <c r="E224">
        <v>5279.4</v>
      </c>
      <c r="F224" t="s">
        <v>657</v>
      </c>
      <c r="G224" t="s">
        <v>26</v>
      </c>
      <c r="H224">
        <v>1</v>
      </c>
      <c r="I224">
        <v>2</v>
      </c>
      <c r="J224">
        <v>2003</v>
      </c>
      <c r="K224" t="s">
        <v>658</v>
      </c>
      <c r="L224">
        <v>157</v>
      </c>
      <c r="M224" t="s">
        <v>659</v>
      </c>
      <c r="N224" t="s">
        <v>636</v>
      </c>
      <c r="O224" t="s">
        <v>637</v>
      </c>
      <c r="P224" t="s">
        <v>638</v>
      </c>
      <c r="R224" t="s">
        <v>639</v>
      </c>
      <c r="T224">
        <v>24100</v>
      </c>
      <c r="U224" t="s">
        <v>286</v>
      </c>
      <c r="V224" t="s">
        <v>43</v>
      </c>
      <c r="W224" t="s">
        <v>640</v>
      </c>
      <c r="X224" t="s">
        <v>641</v>
      </c>
      <c r="Y224" t="s">
        <v>52</v>
      </c>
    </row>
    <row r="225" spans="1:25" x14ac:dyDescent="0.3">
      <c r="A225">
        <v>10131</v>
      </c>
      <c r="B225">
        <v>21</v>
      </c>
      <c r="C225">
        <v>100</v>
      </c>
      <c r="D225">
        <v>4</v>
      </c>
      <c r="E225">
        <v>2781.66</v>
      </c>
      <c r="F225" t="s">
        <v>660</v>
      </c>
      <c r="G225" t="s">
        <v>26</v>
      </c>
      <c r="H225">
        <v>2</v>
      </c>
      <c r="I225">
        <v>6</v>
      </c>
      <c r="J225">
        <v>2003</v>
      </c>
      <c r="K225" t="s">
        <v>658</v>
      </c>
      <c r="L225">
        <v>157</v>
      </c>
      <c r="M225" t="s">
        <v>659</v>
      </c>
      <c r="N225" t="s">
        <v>661</v>
      </c>
      <c r="O225">
        <v>2035554407</v>
      </c>
      <c r="P225" t="s">
        <v>662</v>
      </c>
      <c r="R225" t="s">
        <v>590</v>
      </c>
      <c r="S225" t="s">
        <v>120</v>
      </c>
      <c r="T225">
        <v>97561</v>
      </c>
      <c r="U225" t="s">
        <v>33</v>
      </c>
      <c r="V225" t="s">
        <v>34</v>
      </c>
      <c r="W225" t="s">
        <v>663</v>
      </c>
      <c r="X225" t="s">
        <v>664</v>
      </c>
      <c r="Y225" t="s">
        <v>37</v>
      </c>
    </row>
    <row r="226" spans="1:25" x14ac:dyDescent="0.3">
      <c r="A226">
        <v>10198</v>
      </c>
      <c r="B226">
        <v>42</v>
      </c>
      <c r="C226">
        <v>100</v>
      </c>
      <c r="D226">
        <v>4</v>
      </c>
      <c r="E226">
        <v>7483.98</v>
      </c>
      <c r="F226" t="s">
        <v>665</v>
      </c>
      <c r="G226" t="s">
        <v>26</v>
      </c>
      <c r="H226">
        <v>4</v>
      </c>
      <c r="I226">
        <v>11</v>
      </c>
      <c r="J226">
        <v>2003</v>
      </c>
      <c r="K226" t="s">
        <v>658</v>
      </c>
      <c r="L226">
        <v>157</v>
      </c>
      <c r="M226" t="s">
        <v>659</v>
      </c>
      <c r="N226" t="s">
        <v>481</v>
      </c>
      <c r="O226" t="s">
        <v>482</v>
      </c>
      <c r="P226" t="s">
        <v>483</v>
      </c>
      <c r="R226" t="s">
        <v>484</v>
      </c>
      <c r="T226" t="s">
        <v>485</v>
      </c>
      <c r="U226" t="s">
        <v>486</v>
      </c>
      <c r="V226" t="s">
        <v>221</v>
      </c>
      <c r="W226" t="s">
        <v>487</v>
      </c>
      <c r="X226" t="s">
        <v>488</v>
      </c>
      <c r="Y226" t="s">
        <v>165</v>
      </c>
    </row>
    <row r="227" spans="1:25" x14ac:dyDescent="0.3">
      <c r="A227">
        <v>10250</v>
      </c>
      <c r="B227">
        <v>45</v>
      </c>
      <c r="C227">
        <v>100</v>
      </c>
      <c r="D227">
        <v>14</v>
      </c>
      <c r="E227">
        <v>8160.3</v>
      </c>
      <c r="F227" s="1">
        <v>38296</v>
      </c>
      <c r="G227" t="s">
        <v>26</v>
      </c>
      <c r="H227">
        <v>2</v>
      </c>
      <c r="I227">
        <v>5</v>
      </c>
      <c r="J227">
        <v>2004</v>
      </c>
      <c r="K227" t="s">
        <v>658</v>
      </c>
      <c r="L227">
        <v>157</v>
      </c>
      <c r="M227" t="s">
        <v>659</v>
      </c>
      <c r="N227" t="s">
        <v>448</v>
      </c>
      <c r="O227">
        <v>4085553659</v>
      </c>
      <c r="P227" t="s">
        <v>449</v>
      </c>
      <c r="R227" t="s">
        <v>450</v>
      </c>
      <c r="S227" t="s">
        <v>57</v>
      </c>
      <c r="T227">
        <v>94217</v>
      </c>
      <c r="U227" t="s">
        <v>33</v>
      </c>
      <c r="V227" t="s">
        <v>34</v>
      </c>
      <c r="W227" t="s">
        <v>108</v>
      </c>
      <c r="X227" t="s">
        <v>451</v>
      </c>
      <c r="Y227" t="s">
        <v>165</v>
      </c>
    </row>
    <row r="228" spans="1:25" x14ac:dyDescent="0.3">
      <c r="A228">
        <v>10262</v>
      </c>
      <c r="B228">
        <v>49</v>
      </c>
      <c r="C228">
        <v>100</v>
      </c>
      <c r="D228">
        <v>9</v>
      </c>
      <c r="E228">
        <v>6567.96</v>
      </c>
      <c r="F228" t="s">
        <v>666</v>
      </c>
      <c r="G228" t="s">
        <v>378</v>
      </c>
      <c r="H228">
        <v>2</v>
      </c>
      <c r="I228">
        <v>6</v>
      </c>
      <c r="J228">
        <v>2004</v>
      </c>
      <c r="K228" t="s">
        <v>658</v>
      </c>
      <c r="L228">
        <v>157</v>
      </c>
      <c r="M228" t="s">
        <v>659</v>
      </c>
      <c r="N228" t="s">
        <v>190</v>
      </c>
      <c r="O228" t="s">
        <v>191</v>
      </c>
      <c r="P228" t="s">
        <v>192</v>
      </c>
      <c r="R228" t="s">
        <v>193</v>
      </c>
      <c r="T228">
        <v>28034</v>
      </c>
      <c r="U228" t="s">
        <v>194</v>
      </c>
      <c r="V228" t="s">
        <v>43</v>
      </c>
      <c r="W228" t="s">
        <v>195</v>
      </c>
      <c r="X228" t="s">
        <v>196</v>
      </c>
      <c r="Y228" t="s">
        <v>52</v>
      </c>
    </row>
    <row r="229" spans="1:25" x14ac:dyDescent="0.3">
      <c r="A229">
        <v>10274</v>
      </c>
      <c r="B229">
        <v>41</v>
      </c>
      <c r="C229">
        <v>100</v>
      </c>
      <c r="D229">
        <v>1</v>
      </c>
      <c r="E229">
        <v>6724</v>
      </c>
      <c r="F229" t="s">
        <v>408</v>
      </c>
      <c r="G229" t="s">
        <v>26</v>
      </c>
      <c r="H229">
        <v>3</v>
      </c>
      <c r="I229">
        <v>7</v>
      </c>
      <c r="J229">
        <v>2004</v>
      </c>
      <c r="K229" t="s">
        <v>658</v>
      </c>
      <c r="L229">
        <v>157</v>
      </c>
      <c r="M229" t="s">
        <v>659</v>
      </c>
      <c r="N229" t="s">
        <v>313</v>
      </c>
      <c r="O229">
        <v>6175558555</v>
      </c>
      <c r="P229" t="s">
        <v>314</v>
      </c>
      <c r="R229" t="s">
        <v>315</v>
      </c>
      <c r="S229" t="s">
        <v>133</v>
      </c>
      <c r="T229">
        <v>58339</v>
      </c>
      <c r="U229" t="s">
        <v>33</v>
      </c>
      <c r="V229" t="s">
        <v>34</v>
      </c>
      <c r="W229" t="s">
        <v>304</v>
      </c>
      <c r="X229" t="s">
        <v>316</v>
      </c>
      <c r="Y229" t="s">
        <v>52</v>
      </c>
    </row>
    <row r="230" spans="1:25" x14ac:dyDescent="0.3">
      <c r="A230">
        <v>10284</v>
      </c>
      <c r="B230">
        <v>45</v>
      </c>
      <c r="C230">
        <v>100</v>
      </c>
      <c r="D230">
        <v>11</v>
      </c>
      <c r="E230">
        <v>5747.85</v>
      </c>
      <c r="F230" t="s">
        <v>667</v>
      </c>
      <c r="G230" t="s">
        <v>26</v>
      </c>
      <c r="H230">
        <v>3</v>
      </c>
      <c r="I230">
        <v>8</v>
      </c>
      <c r="J230">
        <v>2004</v>
      </c>
      <c r="K230" t="s">
        <v>658</v>
      </c>
      <c r="L230">
        <v>157</v>
      </c>
      <c r="M230" t="s">
        <v>659</v>
      </c>
      <c r="N230" t="s">
        <v>621</v>
      </c>
      <c r="O230" t="s">
        <v>622</v>
      </c>
      <c r="P230" t="s">
        <v>623</v>
      </c>
      <c r="R230" t="s">
        <v>624</v>
      </c>
      <c r="T230" t="s">
        <v>625</v>
      </c>
      <c r="U230" t="s">
        <v>82</v>
      </c>
      <c r="V230" t="s">
        <v>43</v>
      </c>
      <c r="W230" t="s">
        <v>626</v>
      </c>
      <c r="X230" t="s">
        <v>627</v>
      </c>
      <c r="Y230" t="s">
        <v>52</v>
      </c>
    </row>
    <row r="231" spans="1:25" x14ac:dyDescent="0.3">
      <c r="A231">
        <v>10296</v>
      </c>
      <c r="B231">
        <v>36</v>
      </c>
      <c r="C231">
        <v>100</v>
      </c>
      <c r="D231">
        <v>7</v>
      </c>
      <c r="E231">
        <v>5676.84</v>
      </c>
      <c r="F231" t="s">
        <v>668</v>
      </c>
      <c r="G231" t="s">
        <v>26</v>
      </c>
      <c r="H231">
        <v>3</v>
      </c>
      <c r="I231">
        <v>9</v>
      </c>
      <c r="J231">
        <v>2004</v>
      </c>
      <c r="K231" t="s">
        <v>658</v>
      </c>
      <c r="L231">
        <v>157</v>
      </c>
      <c r="M231" t="s">
        <v>659</v>
      </c>
      <c r="N231" t="s">
        <v>669</v>
      </c>
      <c r="O231" t="s">
        <v>670</v>
      </c>
      <c r="P231" t="s">
        <v>671</v>
      </c>
      <c r="R231" t="s">
        <v>672</v>
      </c>
      <c r="T231">
        <v>80686</v>
      </c>
      <c r="U231" t="s">
        <v>500</v>
      </c>
      <c r="V231" t="s">
        <v>43</v>
      </c>
      <c r="W231" t="s">
        <v>673</v>
      </c>
      <c r="X231" t="s">
        <v>109</v>
      </c>
      <c r="Y231" t="s">
        <v>52</v>
      </c>
    </row>
    <row r="232" spans="1:25" x14ac:dyDescent="0.3">
      <c r="A232">
        <v>10327</v>
      </c>
      <c r="B232">
        <v>25</v>
      </c>
      <c r="C232">
        <v>100</v>
      </c>
      <c r="D232">
        <v>6</v>
      </c>
      <c r="E232">
        <v>2804.75</v>
      </c>
      <c r="F232" s="1">
        <v>38271</v>
      </c>
      <c r="G232" t="s">
        <v>460</v>
      </c>
      <c r="H232">
        <v>4</v>
      </c>
      <c r="I232">
        <v>11</v>
      </c>
      <c r="J232">
        <v>2004</v>
      </c>
      <c r="K232" t="s">
        <v>658</v>
      </c>
      <c r="L232">
        <v>157</v>
      </c>
      <c r="M232" t="s">
        <v>659</v>
      </c>
      <c r="N232" t="s">
        <v>359</v>
      </c>
      <c r="O232" t="s">
        <v>360</v>
      </c>
      <c r="P232" t="s">
        <v>361</v>
      </c>
      <c r="R232" t="s">
        <v>362</v>
      </c>
      <c r="T232">
        <v>1734</v>
      </c>
      <c r="U232" t="s">
        <v>363</v>
      </c>
      <c r="V232" t="s">
        <v>43</v>
      </c>
      <c r="W232" t="s">
        <v>364</v>
      </c>
      <c r="X232" t="s">
        <v>365</v>
      </c>
      <c r="Y232" t="s">
        <v>37</v>
      </c>
    </row>
    <row r="233" spans="1:25" x14ac:dyDescent="0.3">
      <c r="A233">
        <v>10338</v>
      </c>
      <c r="B233">
        <v>41</v>
      </c>
      <c r="C233">
        <v>100</v>
      </c>
      <c r="D233">
        <v>1</v>
      </c>
      <c r="E233">
        <v>5624.79</v>
      </c>
      <c r="F233" t="s">
        <v>674</v>
      </c>
      <c r="G233" t="s">
        <v>26</v>
      </c>
      <c r="H233">
        <v>4</v>
      </c>
      <c r="I233">
        <v>11</v>
      </c>
      <c r="J233">
        <v>2004</v>
      </c>
      <c r="K233" t="s">
        <v>658</v>
      </c>
      <c r="L233">
        <v>157</v>
      </c>
      <c r="M233" t="s">
        <v>659</v>
      </c>
      <c r="N233" t="s">
        <v>675</v>
      </c>
      <c r="O233" t="s">
        <v>676</v>
      </c>
      <c r="P233" t="s">
        <v>677</v>
      </c>
      <c r="R233" t="s">
        <v>678</v>
      </c>
      <c r="T233" t="s">
        <v>679</v>
      </c>
      <c r="U233" t="s">
        <v>414</v>
      </c>
      <c r="V233" t="s">
        <v>43</v>
      </c>
      <c r="W233" t="s">
        <v>680</v>
      </c>
      <c r="X233" t="s">
        <v>681</v>
      </c>
      <c r="Y233" t="s">
        <v>52</v>
      </c>
    </row>
    <row r="234" spans="1:25" x14ac:dyDescent="0.3">
      <c r="A234">
        <v>10351</v>
      </c>
      <c r="B234">
        <v>39</v>
      </c>
      <c r="C234">
        <v>99.52</v>
      </c>
      <c r="D234">
        <v>1</v>
      </c>
      <c r="E234">
        <v>3881.28</v>
      </c>
      <c r="F234" s="1">
        <v>38058</v>
      </c>
      <c r="G234" t="s">
        <v>26</v>
      </c>
      <c r="H234">
        <v>4</v>
      </c>
      <c r="I234">
        <v>12</v>
      </c>
      <c r="J234">
        <v>2004</v>
      </c>
      <c r="K234" t="s">
        <v>658</v>
      </c>
      <c r="L234">
        <v>157</v>
      </c>
      <c r="M234" t="s">
        <v>659</v>
      </c>
      <c r="N234" t="s">
        <v>367</v>
      </c>
      <c r="O234" t="s">
        <v>368</v>
      </c>
      <c r="P234" t="s">
        <v>369</v>
      </c>
      <c r="R234" t="s">
        <v>370</v>
      </c>
      <c r="T234" t="s">
        <v>371</v>
      </c>
      <c r="U234" t="s">
        <v>185</v>
      </c>
      <c r="V234" t="s">
        <v>43</v>
      </c>
      <c r="W234" t="s">
        <v>63</v>
      </c>
      <c r="X234" t="s">
        <v>372</v>
      </c>
      <c r="Y234" t="s">
        <v>52</v>
      </c>
    </row>
    <row r="235" spans="1:25" x14ac:dyDescent="0.3">
      <c r="A235">
        <v>10386</v>
      </c>
      <c r="B235">
        <v>25</v>
      </c>
      <c r="C235">
        <v>54.57</v>
      </c>
      <c r="D235">
        <v>7</v>
      </c>
      <c r="E235">
        <v>1364.25</v>
      </c>
      <c r="F235" s="1">
        <v>38355</v>
      </c>
      <c r="G235" t="s">
        <v>460</v>
      </c>
      <c r="H235">
        <v>1</v>
      </c>
      <c r="I235">
        <v>3</v>
      </c>
      <c r="J235">
        <v>2005</v>
      </c>
      <c r="K235" t="s">
        <v>658</v>
      </c>
      <c r="L235">
        <v>157</v>
      </c>
      <c r="M235" t="s">
        <v>659</v>
      </c>
      <c r="N235" t="s">
        <v>190</v>
      </c>
      <c r="O235" t="s">
        <v>191</v>
      </c>
      <c r="P235" t="s">
        <v>192</v>
      </c>
      <c r="R235" t="s">
        <v>193</v>
      </c>
      <c r="T235">
        <v>28034</v>
      </c>
      <c r="U235" t="s">
        <v>194</v>
      </c>
      <c r="V235" t="s">
        <v>43</v>
      </c>
      <c r="W235" t="s">
        <v>195</v>
      </c>
      <c r="X235" t="s">
        <v>196</v>
      </c>
      <c r="Y235" t="s">
        <v>37</v>
      </c>
    </row>
    <row r="236" spans="1:25" x14ac:dyDescent="0.3">
      <c r="A236">
        <v>10398</v>
      </c>
      <c r="B236">
        <v>33</v>
      </c>
      <c r="C236">
        <v>100</v>
      </c>
      <c r="D236">
        <v>11</v>
      </c>
      <c r="E236">
        <v>4215.09</v>
      </c>
      <c r="F236" t="s">
        <v>682</v>
      </c>
      <c r="G236" t="s">
        <v>26</v>
      </c>
      <c r="H236">
        <v>1</v>
      </c>
      <c r="I236">
        <v>3</v>
      </c>
      <c r="J236">
        <v>2005</v>
      </c>
      <c r="K236" t="s">
        <v>658</v>
      </c>
      <c r="L236">
        <v>157</v>
      </c>
      <c r="M236" t="s">
        <v>659</v>
      </c>
      <c r="N236" t="s">
        <v>38</v>
      </c>
      <c r="O236" t="s">
        <v>39</v>
      </c>
      <c r="P236" t="s">
        <v>40</v>
      </c>
      <c r="R236" t="s">
        <v>41</v>
      </c>
      <c r="T236">
        <v>51100</v>
      </c>
      <c r="U236" t="s">
        <v>42</v>
      </c>
      <c r="V236" t="s">
        <v>43</v>
      </c>
      <c r="W236" t="s">
        <v>44</v>
      </c>
      <c r="X236" t="s">
        <v>45</v>
      </c>
      <c r="Y236" t="s">
        <v>52</v>
      </c>
    </row>
    <row r="237" spans="1:25" x14ac:dyDescent="0.3">
      <c r="A237">
        <v>10416</v>
      </c>
      <c r="B237">
        <v>24</v>
      </c>
      <c r="C237">
        <v>100</v>
      </c>
      <c r="D237">
        <v>14</v>
      </c>
      <c r="E237">
        <v>4352.16</v>
      </c>
      <c r="F237" s="1">
        <v>38630</v>
      </c>
      <c r="G237" t="s">
        <v>26</v>
      </c>
      <c r="H237">
        <v>2</v>
      </c>
      <c r="I237">
        <v>5</v>
      </c>
      <c r="J237">
        <v>2005</v>
      </c>
      <c r="K237" t="s">
        <v>658</v>
      </c>
      <c r="L237">
        <v>157</v>
      </c>
      <c r="M237" t="s">
        <v>659</v>
      </c>
      <c r="N237" t="s">
        <v>510</v>
      </c>
      <c r="O237" t="s">
        <v>511</v>
      </c>
      <c r="P237" t="s">
        <v>512</v>
      </c>
      <c r="R237" t="s">
        <v>513</v>
      </c>
      <c r="T237">
        <v>42100</v>
      </c>
      <c r="U237" t="s">
        <v>286</v>
      </c>
      <c r="V237" t="s">
        <v>43</v>
      </c>
      <c r="W237" t="s">
        <v>514</v>
      </c>
      <c r="X237" t="s">
        <v>515</v>
      </c>
      <c r="Y237" t="s">
        <v>52</v>
      </c>
    </row>
    <row r="238" spans="1:25" x14ac:dyDescent="0.3">
      <c r="A238">
        <v>10100</v>
      </c>
      <c r="B238">
        <v>30</v>
      </c>
      <c r="C238">
        <v>100</v>
      </c>
      <c r="D238">
        <v>3</v>
      </c>
      <c r="E238">
        <v>5151</v>
      </c>
      <c r="F238" s="1">
        <v>37773</v>
      </c>
      <c r="G238" t="s">
        <v>26</v>
      </c>
      <c r="H238">
        <v>1</v>
      </c>
      <c r="I238">
        <v>1</v>
      </c>
      <c r="J238">
        <v>2003</v>
      </c>
      <c r="K238" t="s">
        <v>630</v>
      </c>
      <c r="L238">
        <v>170</v>
      </c>
      <c r="M238" t="s">
        <v>683</v>
      </c>
      <c r="N238" t="s">
        <v>306</v>
      </c>
      <c r="O238">
        <v>6035558647</v>
      </c>
      <c r="P238" t="s">
        <v>307</v>
      </c>
      <c r="R238" t="s">
        <v>308</v>
      </c>
      <c r="S238" t="s">
        <v>309</v>
      </c>
      <c r="T238">
        <v>62005</v>
      </c>
      <c r="U238" t="s">
        <v>33</v>
      </c>
      <c r="V238" t="s">
        <v>34</v>
      </c>
      <c r="W238" t="s">
        <v>58</v>
      </c>
      <c r="X238" t="s">
        <v>305</v>
      </c>
      <c r="Y238" t="s">
        <v>52</v>
      </c>
    </row>
    <row r="239" spans="1:25" x14ac:dyDescent="0.3">
      <c r="A239">
        <v>10124</v>
      </c>
      <c r="B239">
        <v>21</v>
      </c>
      <c r="C239">
        <v>100</v>
      </c>
      <c r="D239">
        <v>6</v>
      </c>
      <c r="E239">
        <v>2856</v>
      </c>
      <c r="F239" t="s">
        <v>633</v>
      </c>
      <c r="G239" t="s">
        <v>26</v>
      </c>
      <c r="H239">
        <v>2</v>
      </c>
      <c r="I239">
        <v>5</v>
      </c>
      <c r="J239">
        <v>2003</v>
      </c>
      <c r="K239" t="s">
        <v>630</v>
      </c>
      <c r="L239">
        <v>170</v>
      </c>
      <c r="M239" t="s">
        <v>683</v>
      </c>
      <c r="N239" t="s">
        <v>617</v>
      </c>
      <c r="O239">
        <v>7025551838</v>
      </c>
      <c r="P239" t="s">
        <v>618</v>
      </c>
      <c r="R239" t="s">
        <v>619</v>
      </c>
      <c r="S239" t="s">
        <v>620</v>
      </c>
      <c r="T239">
        <v>83030</v>
      </c>
      <c r="U239" t="s">
        <v>33</v>
      </c>
      <c r="V239" t="s">
        <v>34</v>
      </c>
      <c r="W239" t="s">
        <v>121</v>
      </c>
      <c r="X239" t="s">
        <v>451</v>
      </c>
      <c r="Y239" t="s">
        <v>37</v>
      </c>
    </row>
    <row r="240" spans="1:25" x14ac:dyDescent="0.3">
      <c r="A240">
        <v>10214</v>
      </c>
      <c r="B240">
        <v>30</v>
      </c>
      <c r="C240">
        <v>100</v>
      </c>
      <c r="D240">
        <v>7</v>
      </c>
      <c r="E240">
        <v>5967</v>
      </c>
      <c r="F240" t="s">
        <v>684</v>
      </c>
      <c r="G240" t="s">
        <v>26</v>
      </c>
      <c r="H240">
        <v>1</v>
      </c>
      <c r="I240">
        <v>1</v>
      </c>
      <c r="J240">
        <v>2004</v>
      </c>
      <c r="K240" t="s">
        <v>630</v>
      </c>
      <c r="L240">
        <v>170</v>
      </c>
      <c r="M240" t="s">
        <v>683</v>
      </c>
      <c r="N240" t="s">
        <v>210</v>
      </c>
      <c r="O240" t="s">
        <v>211</v>
      </c>
      <c r="P240" t="s">
        <v>212</v>
      </c>
      <c r="R240" t="s">
        <v>193</v>
      </c>
      <c r="T240">
        <v>28023</v>
      </c>
      <c r="U240" t="s">
        <v>194</v>
      </c>
      <c r="V240" t="s">
        <v>43</v>
      </c>
      <c r="W240" t="s">
        <v>213</v>
      </c>
      <c r="X240" t="s">
        <v>214</v>
      </c>
      <c r="Y240" t="s">
        <v>52</v>
      </c>
    </row>
    <row r="241" spans="1:25" x14ac:dyDescent="0.3">
      <c r="A241">
        <v>10302</v>
      </c>
      <c r="B241">
        <v>43</v>
      </c>
      <c r="C241">
        <v>100</v>
      </c>
      <c r="D241">
        <v>1</v>
      </c>
      <c r="E241">
        <v>7310</v>
      </c>
      <c r="F241" s="1">
        <v>37782</v>
      </c>
      <c r="G241" t="s">
        <v>26</v>
      </c>
      <c r="H241">
        <v>4</v>
      </c>
      <c r="I241">
        <v>10</v>
      </c>
      <c r="J241">
        <v>2003</v>
      </c>
      <c r="K241" t="s">
        <v>630</v>
      </c>
      <c r="L241">
        <v>170</v>
      </c>
      <c r="M241" t="s">
        <v>683</v>
      </c>
      <c r="N241" t="s">
        <v>180</v>
      </c>
      <c r="O241" t="s">
        <v>181</v>
      </c>
      <c r="P241" t="s">
        <v>182</v>
      </c>
      <c r="R241" t="s">
        <v>183</v>
      </c>
      <c r="T241" t="s">
        <v>184</v>
      </c>
      <c r="U241" t="s">
        <v>185</v>
      </c>
      <c r="V241" t="s">
        <v>43</v>
      </c>
      <c r="W241" t="s">
        <v>186</v>
      </c>
      <c r="X241" t="s">
        <v>187</v>
      </c>
      <c r="Y241" t="s">
        <v>165</v>
      </c>
    </row>
    <row r="242" spans="1:25" x14ac:dyDescent="0.3">
      <c r="A242">
        <v>10344</v>
      </c>
      <c r="B242">
        <v>45</v>
      </c>
      <c r="C242">
        <v>100</v>
      </c>
      <c r="D242">
        <v>1</v>
      </c>
      <c r="E242">
        <v>7650</v>
      </c>
      <c r="F242" t="s">
        <v>685</v>
      </c>
      <c r="G242" t="s">
        <v>26</v>
      </c>
      <c r="H242">
        <v>4</v>
      </c>
      <c r="I242">
        <v>11</v>
      </c>
      <c r="J242">
        <v>2004</v>
      </c>
      <c r="K242" t="s">
        <v>630</v>
      </c>
      <c r="L242">
        <v>170</v>
      </c>
      <c r="M242" t="s">
        <v>683</v>
      </c>
      <c r="N242" t="s">
        <v>489</v>
      </c>
      <c r="O242" t="s">
        <v>490</v>
      </c>
      <c r="P242" t="s">
        <v>491</v>
      </c>
      <c r="R242" t="s">
        <v>492</v>
      </c>
      <c r="T242">
        <v>13008</v>
      </c>
      <c r="U242" t="s">
        <v>42</v>
      </c>
      <c r="V242" t="s">
        <v>43</v>
      </c>
      <c r="W242" t="s">
        <v>493</v>
      </c>
      <c r="X242" t="s">
        <v>494</v>
      </c>
      <c r="Y242" t="s">
        <v>165</v>
      </c>
    </row>
    <row r="243" spans="1:25" x14ac:dyDescent="0.3">
      <c r="A243">
        <v>10379</v>
      </c>
      <c r="B243">
        <v>39</v>
      </c>
      <c r="C243">
        <v>100</v>
      </c>
      <c r="D243">
        <v>2</v>
      </c>
      <c r="E243">
        <v>5399.55</v>
      </c>
      <c r="F243" s="1">
        <v>38627</v>
      </c>
      <c r="G243" t="s">
        <v>26</v>
      </c>
      <c r="H243">
        <v>1</v>
      </c>
      <c r="I243">
        <v>2</v>
      </c>
      <c r="J243">
        <v>2005</v>
      </c>
      <c r="K243" t="s">
        <v>630</v>
      </c>
      <c r="L243">
        <v>170</v>
      </c>
      <c r="M243" t="s">
        <v>683</v>
      </c>
      <c r="N243" t="s">
        <v>190</v>
      </c>
      <c r="O243" t="s">
        <v>191</v>
      </c>
      <c r="P243" t="s">
        <v>192</v>
      </c>
      <c r="R243" t="s">
        <v>193</v>
      </c>
      <c r="T243">
        <v>28034</v>
      </c>
      <c r="U243" t="s">
        <v>194</v>
      </c>
      <c r="V243" t="s">
        <v>43</v>
      </c>
      <c r="W243" t="s">
        <v>195</v>
      </c>
      <c r="X243" t="s">
        <v>196</v>
      </c>
      <c r="Y243" t="s">
        <v>52</v>
      </c>
    </row>
    <row r="244" spans="1:25" x14ac:dyDescent="0.3">
      <c r="A244">
        <v>10420</v>
      </c>
      <c r="B244">
        <v>37</v>
      </c>
      <c r="C244">
        <v>100</v>
      </c>
      <c r="D244">
        <v>5</v>
      </c>
      <c r="E244">
        <v>5283.6</v>
      </c>
      <c r="F244" t="s">
        <v>686</v>
      </c>
      <c r="G244" t="s">
        <v>334</v>
      </c>
      <c r="H244">
        <v>2</v>
      </c>
      <c r="I244">
        <v>5</v>
      </c>
      <c r="J244">
        <v>2005</v>
      </c>
      <c r="K244" t="s">
        <v>630</v>
      </c>
      <c r="L244">
        <v>170</v>
      </c>
      <c r="M244" t="s">
        <v>683</v>
      </c>
      <c r="N244" t="s">
        <v>167</v>
      </c>
      <c r="O244" t="s">
        <v>168</v>
      </c>
      <c r="P244" t="s">
        <v>169</v>
      </c>
      <c r="Q244" t="s">
        <v>170</v>
      </c>
      <c r="R244" t="s">
        <v>171</v>
      </c>
      <c r="S244" t="s">
        <v>172</v>
      </c>
      <c r="T244">
        <v>2067</v>
      </c>
      <c r="U244" t="s">
        <v>101</v>
      </c>
      <c r="V244" t="s">
        <v>102</v>
      </c>
      <c r="W244" t="s">
        <v>173</v>
      </c>
      <c r="X244" t="s">
        <v>174</v>
      </c>
      <c r="Y244" t="s">
        <v>52</v>
      </c>
    </row>
    <row r="245" spans="1:25" x14ac:dyDescent="0.3">
      <c r="A245">
        <v>10366</v>
      </c>
      <c r="B245">
        <v>34</v>
      </c>
      <c r="C245">
        <v>100</v>
      </c>
      <c r="D245">
        <v>3</v>
      </c>
      <c r="E245">
        <v>4207.84</v>
      </c>
      <c r="F245" s="1">
        <v>38626</v>
      </c>
      <c r="G245" t="s">
        <v>26</v>
      </c>
      <c r="H245">
        <v>1</v>
      </c>
      <c r="I245">
        <v>1</v>
      </c>
      <c r="J245">
        <v>2005</v>
      </c>
      <c r="K245" t="s">
        <v>198</v>
      </c>
      <c r="L245">
        <v>142</v>
      </c>
      <c r="M245" t="s">
        <v>687</v>
      </c>
      <c r="N245" t="s">
        <v>675</v>
      </c>
      <c r="O245" t="s">
        <v>676</v>
      </c>
      <c r="P245" t="s">
        <v>677</v>
      </c>
      <c r="R245" t="s">
        <v>678</v>
      </c>
      <c r="T245" t="s">
        <v>679</v>
      </c>
      <c r="U245" t="s">
        <v>414</v>
      </c>
      <c r="V245" t="s">
        <v>43</v>
      </c>
      <c r="W245" t="s">
        <v>680</v>
      </c>
      <c r="X245" t="s">
        <v>681</v>
      </c>
      <c r="Y245" t="s">
        <v>52</v>
      </c>
    </row>
    <row r="246" spans="1:25" x14ac:dyDescent="0.3">
      <c r="A246">
        <v>10303</v>
      </c>
      <c r="B246">
        <v>46</v>
      </c>
      <c r="C246">
        <v>49.04</v>
      </c>
      <c r="D246">
        <v>2</v>
      </c>
      <c r="E246">
        <v>2255.84</v>
      </c>
      <c r="F246" s="1">
        <v>38148</v>
      </c>
      <c r="G246" t="s">
        <v>26</v>
      </c>
      <c r="H246">
        <v>4</v>
      </c>
      <c r="I246">
        <v>10</v>
      </c>
      <c r="J246">
        <v>2004</v>
      </c>
      <c r="K246" t="s">
        <v>630</v>
      </c>
      <c r="L246">
        <v>60</v>
      </c>
      <c r="M246" t="s">
        <v>688</v>
      </c>
      <c r="N246" t="s">
        <v>596</v>
      </c>
      <c r="O246" t="s">
        <v>597</v>
      </c>
      <c r="P246" t="s">
        <v>598</v>
      </c>
      <c r="R246" t="s">
        <v>599</v>
      </c>
      <c r="T246">
        <v>41101</v>
      </c>
      <c r="U246" t="s">
        <v>194</v>
      </c>
      <c r="V246" t="s">
        <v>43</v>
      </c>
      <c r="W246" t="s">
        <v>600</v>
      </c>
      <c r="X246" t="s">
        <v>601</v>
      </c>
      <c r="Y246" t="s">
        <v>37</v>
      </c>
    </row>
    <row r="247" spans="1:25" x14ac:dyDescent="0.3">
      <c r="A247">
        <v>10383</v>
      </c>
      <c r="B247">
        <v>27</v>
      </c>
      <c r="C247">
        <v>100</v>
      </c>
      <c r="D247">
        <v>11</v>
      </c>
      <c r="E247">
        <v>3843.99</v>
      </c>
      <c r="F247" t="s">
        <v>689</v>
      </c>
      <c r="G247" t="s">
        <v>26</v>
      </c>
      <c r="H247">
        <v>1</v>
      </c>
      <c r="I247">
        <v>2</v>
      </c>
      <c r="J247">
        <v>2005</v>
      </c>
      <c r="K247" t="s">
        <v>573</v>
      </c>
      <c r="L247">
        <v>122</v>
      </c>
      <c r="M247" t="s">
        <v>690</v>
      </c>
      <c r="N247" t="s">
        <v>190</v>
      </c>
      <c r="O247" t="s">
        <v>191</v>
      </c>
      <c r="P247" t="s">
        <v>192</v>
      </c>
      <c r="R247" t="s">
        <v>193</v>
      </c>
      <c r="T247">
        <v>28034</v>
      </c>
      <c r="U247" t="s">
        <v>194</v>
      </c>
      <c r="V247" t="s">
        <v>43</v>
      </c>
      <c r="W247" t="s">
        <v>195</v>
      </c>
      <c r="X247" t="s">
        <v>196</v>
      </c>
      <c r="Y247" t="s">
        <v>52</v>
      </c>
    </row>
    <row r="248" spans="1:25" x14ac:dyDescent="0.3">
      <c r="A248">
        <v>10101</v>
      </c>
      <c r="B248">
        <v>25</v>
      </c>
      <c r="C248">
        <v>100</v>
      </c>
      <c r="D248">
        <v>4</v>
      </c>
      <c r="E248">
        <v>3782</v>
      </c>
      <c r="F248" s="1">
        <v>37865</v>
      </c>
      <c r="G248" t="s">
        <v>26</v>
      </c>
      <c r="H248">
        <v>1</v>
      </c>
      <c r="I248">
        <v>1</v>
      </c>
      <c r="J248">
        <v>2003</v>
      </c>
      <c r="K248" t="s">
        <v>630</v>
      </c>
      <c r="L248">
        <v>127</v>
      </c>
      <c r="M248" t="s">
        <v>691</v>
      </c>
      <c r="N248" t="s">
        <v>521</v>
      </c>
      <c r="O248" t="s">
        <v>522</v>
      </c>
      <c r="P248" t="s">
        <v>523</v>
      </c>
      <c r="R248" t="s">
        <v>524</v>
      </c>
      <c r="T248">
        <v>60528</v>
      </c>
      <c r="U248" t="s">
        <v>500</v>
      </c>
      <c r="V248" t="s">
        <v>43</v>
      </c>
      <c r="W248" t="s">
        <v>525</v>
      </c>
      <c r="X248" t="s">
        <v>466</v>
      </c>
      <c r="Y248" t="s">
        <v>52</v>
      </c>
    </row>
    <row r="249" spans="1:25" x14ac:dyDescent="0.3">
      <c r="A249">
        <v>10243</v>
      </c>
      <c r="B249">
        <v>47</v>
      </c>
      <c r="C249">
        <v>100</v>
      </c>
      <c r="D249">
        <v>2</v>
      </c>
      <c r="E249">
        <v>6154.18</v>
      </c>
      <c r="F249" t="s">
        <v>692</v>
      </c>
      <c r="G249" t="s">
        <v>26</v>
      </c>
      <c r="H249">
        <v>2</v>
      </c>
      <c r="I249">
        <v>4</v>
      </c>
      <c r="J249">
        <v>2004</v>
      </c>
      <c r="K249" t="s">
        <v>630</v>
      </c>
      <c r="L249">
        <v>127</v>
      </c>
      <c r="M249" t="s">
        <v>691</v>
      </c>
      <c r="N249" t="s">
        <v>467</v>
      </c>
      <c r="O249">
        <v>6175552555</v>
      </c>
      <c r="P249" t="s">
        <v>468</v>
      </c>
      <c r="R249" t="s">
        <v>426</v>
      </c>
      <c r="S249" t="s">
        <v>133</v>
      </c>
      <c r="T249">
        <v>51003</v>
      </c>
      <c r="U249" t="s">
        <v>33</v>
      </c>
      <c r="V249" t="s">
        <v>34</v>
      </c>
      <c r="W249" t="s">
        <v>469</v>
      </c>
      <c r="X249" t="s">
        <v>305</v>
      </c>
      <c r="Y249" t="s">
        <v>52</v>
      </c>
    </row>
    <row r="250" spans="1:25" x14ac:dyDescent="0.3">
      <c r="A250">
        <v>10409</v>
      </c>
      <c r="B250">
        <v>6</v>
      </c>
      <c r="C250">
        <v>100</v>
      </c>
      <c r="D250">
        <v>2</v>
      </c>
      <c r="E250">
        <v>785.64</v>
      </c>
      <c r="F250" t="s">
        <v>693</v>
      </c>
      <c r="G250" t="s">
        <v>26</v>
      </c>
      <c r="H250">
        <v>2</v>
      </c>
      <c r="I250">
        <v>4</v>
      </c>
      <c r="J250">
        <v>2005</v>
      </c>
      <c r="K250" t="s">
        <v>630</v>
      </c>
      <c r="L250">
        <v>127</v>
      </c>
      <c r="M250" t="s">
        <v>691</v>
      </c>
      <c r="N250" t="s">
        <v>470</v>
      </c>
      <c r="O250" t="s">
        <v>471</v>
      </c>
      <c r="P250" t="s">
        <v>472</v>
      </c>
      <c r="Q250" t="s">
        <v>473</v>
      </c>
      <c r="R250" t="s">
        <v>220</v>
      </c>
      <c r="T250">
        <v>69045</v>
      </c>
      <c r="U250" t="s">
        <v>220</v>
      </c>
      <c r="V250" t="s">
        <v>102</v>
      </c>
      <c r="W250" t="s">
        <v>474</v>
      </c>
      <c r="X250" t="s">
        <v>475</v>
      </c>
      <c r="Y250" t="s">
        <v>37</v>
      </c>
    </row>
    <row r="251" spans="1:25" x14ac:dyDescent="0.3">
      <c r="A251">
        <v>10133</v>
      </c>
      <c r="B251">
        <v>49</v>
      </c>
      <c r="C251">
        <v>69.27</v>
      </c>
      <c r="D251">
        <v>3</v>
      </c>
      <c r="E251">
        <v>3394.23</v>
      </c>
      <c r="F251" t="s">
        <v>694</v>
      </c>
      <c r="G251" t="s">
        <v>26</v>
      </c>
      <c r="H251">
        <v>2</v>
      </c>
      <c r="I251">
        <v>6</v>
      </c>
      <c r="J251">
        <v>2003</v>
      </c>
      <c r="K251" t="s">
        <v>658</v>
      </c>
      <c r="L251">
        <v>84</v>
      </c>
      <c r="M251" t="s">
        <v>695</v>
      </c>
      <c r="N251" t="s">
        <v>190</v>
      </c>
      <c r="O251" t="s">
        <v>191</v>
      </c>
      <c r="P251" t="s">
        <v>192</v>
      </c>
      <c r="R251" t="s">
        <v>193</v>
      </c>
      <c r="T251">
        <v>28034</v>
      </c>
      <c r="U251" t="s">
        <v>194</v>
      </c>
      <c r="V251" t="s">
        <v>43</v>
      </c>
      <c r="W251" t="s">
        <v>195</v>
      </c>
      <c r="X251" t="s">
        <v>196</v>
      </c>
      <c r="Y251" t="s">
        <v>52</v>
      </c>
    </row>
    <row r="252" spans="1:25" x14ac:dyDescent="0.3">
      <c r="A252">
        <v>10235</v>
      </c>
      <c r="B252">
        <v>24</v>
      </c>
      <c r="C252">
        <v>76.03</v>
      </c>
      <c r="D252">
        <v>3</v>
      </c>
      <c r="E252">
        <v>1824.72</v>
      </c>
      <c r="F252" s="1">
        <v>38021</v>
      </c>
      <c r="G252" t="s">
        <v>26</v>
      </c>
      <c r="H252">
        <v>2</v>
      </c>
      <c r="I252">
        <v>4</v>
      </c>
      <c r="J252">
        <v>2004</v>
      </c>
      <c r="K252" t="s">
        <v>658</v>
      </c>
      <c r="L252">
        <v>84</v>
      </c>
      <c r="M252" t="s">
        <v>695</v>
      </c>
      <c r="N252" t="s">
        <v>418</v>
      </c>
      <c r="O252" t="s">
        <v>419</v>
      </c>
      <c r="P252" t="s">
        <v>420</v>
      </c>
      <c r="R252" t="s">
        <v>421</v>
      </c>
      <c r="S252" t="s">
        <v>253</v>
      </c>
      <c r="T252" t="s">
        <v>422</v>
      </c>
      <c r="U252" t="s">
        <v>255</v>
      </c>
      <c r="V252" t="s">
        <v>34</v>
      </c>
      <c r="W252" t="s">
        <v>423</v>
      </c>
      <c r="X252" t="s">
        <v>187</v>
      </c>
      <c r="Y252" t="s">
        <v>37</v>
      </c>
    </row>
    <row r="253" spans="1:25" x14ac:dyDescent="0.3">
      <c r="A253">
        <v>10297</v>
      </c>
      <c r="B253">
        <v>25</v>
      </c>
      <c r="C253">
        <v>82.79</v>
      </c>
      <c r="D253">
        <v>4</v>
      </c>
      <c r="E253">
        <v>2069.75</v>
      </c>
      <c r="F253" t="s">
        <v>696</v>
      </c>
      <c r="G253" t="s">
        <v>26</v>
      </c>
      <c r="H253">
        <v>3</v>
      </c>
      <c r="I253">
        <v>9</v>
      </c>
      <c r="J253">
        <v>2004</v>
      </c>
      <c r="K253" t="s">
        <v>658</v>
      </c>
      <c r="L253">
        <v>84</v>
      </c>
      <c r="M253" t="s">
        <v>695</v>
      </c>
      <c r="N253" t="s">
        <v>543</v>
      </c>
      <c r="O253" t="s">
        <v>544</v>
      </c>
      <c r="P253" t="s">
        <v>545</v>
      </c>
      <c r="Q253" t="s">
        <v>546</v>
      </c>
      <c r="R253" t="s">
        <v>547</v>
      </c>
      <c r="T253">
        <v>2</v>
      </c>
      <c r="U253" t="s">
        <v>548</v>
      </c>
      <c r="V253" t="s">
        <v>43</v>
      </c>
      <c r="W253" t="s">
        <v>549</v>
      </c>
      <c r="X253" t="s">
        <v>550</v>
      </c>
      <c r="Y253" t="s">
        <v>37</v>
      </c>
    </row>
    <row r="254" spans="1:25" x14ac:dyDescent="0.3">
      <c r="A254">
        <v>10353</v>
      </c>
      <c r="B254">
        <v>27</v>
      </c>
      <c r="C254">
        <v>100</v>
      </c>
      <c r="D254">
        <v>1</v>
      </c>
      <c r="E254">
        <v>3515.67</v>
      </c>
      <c r="F254" s="1">
        <v>38089</v>
      </c>
      <c r="G254" t="s">
        <v>26</v>
      </c>
      <c r="H254">
        <v>4</v>
      </c>
      <c r="I254">
        <v>12</v>
      </c>
      <c r="J254">
        <v>2004</v>
      </c>
      <c r="K254" t="s">
        <v>658</v>
      </c>
      <c r="L254">
        <v>84</v>
      </c>
      <c r="M254" t="s">
        <v>695</v>
      </c>
      <c r="N254" t="s">
        <v>661</v>
      </c>
      <c r="O254">
        <v>2035554407</v>
      </c>
      <c r="P254" t="s">
        <v>662</v>
      </c>
      <c r="R254" t="s">
        <v>590</v>
      </c>
      <c r="S254" t="s">
        <v>120</v>
      </c>
      <c r="T254">
        <v>97561</v>
      </c>
      <c r="U254" t="s">
        <v>33</v>
      </c>
      <c r="V254" t="s">
        <v>34</v>
      </c>
      <c r="W254" t="s">
        <v>663</v>
      </c>
      <c r="X254" t="s">
        <v>664</v>
      </c>
      <c r="Y254" t="s">
        <v>52</v>
      </c>
    </row>
    <row r="255" spans="1:25" x14ac:dyDescent="0.3">
      <c r="A255">
        <v>10401</v>
      </c>
      <c r="B255">
        <v>42</v>
      </c>
      <c r="C255">
        <v>76.03</v>
      </c>
      <c r="D255">
        <v>3</v>
      </c>
      <c r="E255">
        <v>3193.26</v>
      </c>
      <c r="F255" s="1">
        <v>38415</v>
      </c>
      <c r="G255" t="s">
        <v>452</v>
      </c>
      <c r="H255">
        <v>2</v>
      </c>
      <c r="I255">
        <v>4</v>
      </c>
      <c r="J255">
        <v>2005</v>
      </c>
      <c r="K255" t="s">
        <v>658</v>
      </c>
      <c r="L255">
        <v>84</v>
      </c>
      <c r="M255" t="s">
        <v>695</v>
      </c>
      <c r="N255" t="s">
        <v>111</v>
      </c>
      <c r="O255">
        <v>2015559350</v>
      </c>
      <c r="P255" t="s">
        <v>112</v>
      </c>
      <c r="R255" t="s">
        <v>113</v>
      </c>
      <c r="S255" t="s">
        <v>114</v>
      </c>
      <c r="T255">
        <v>94019</v>
      </c>
      <c r="U255" t="s">
        <v>33</v>
      </c>
      <c r="V255" t="s">
        <v>34</v>
      </c>
      <c r="W255" t="s">
        <v>63</v>
      </c>
      <c r="X255" t="s">
        <v>115</v>
      </c>
      <c r="Y255" t="s">
        <v>52</v>
      </c>
    </row>
    <row r="256" spans="1:25" x14ac:dyDescent="0.3">
      <c r="A256">
        <v>10255</v>
      </c>
      <c r="B256">
        <v>24</v>
      </c>
      <c r="C256">
        <v>100</v>
      </c>
      <c r="D256">
        <v>1</v>
      </c>
      <c r="E256">
        <v>3726</v>
      </c>
      <c r="F256" s="1">
        <v>38083</v>
      </c>
      <c r="G256" t="s">
        <v>26</v>
      </c>
      <c r="H256">
        <v>2</v>
      </c>
      <c r="I256">
        <v>6</v>
      </c>
      <c r="J256">
        <v>2004</v>
      </c>
      <c r="K256" t="s">
        <v>630</v>
      </c>
      <c r="L256">
        <v>168</v>
      </c>
      <c r="M256" t="s">
        <v>697</v>
      </c>
      <c r="N256" t="s">
        <v>608</v>
      </c>
      <c r="O256" t="s">
        <v>609</v>
      </c>
      <c r="P256" t="s">
        <v>610</v>
      </c>
      <c r="R256" t="s">
        <v>611</v>
      </c>
      <c r="T256">
        <v>67000</v>
      </c>
      <c r="U256" t="s">
        <v>42</v>
      </c>
      <c r="V256" t="s">
        <v>43</v>
      </c>
      <c r="W256" t="s">
        <v>612</v>
      </c>
      <c r="X256" t="s">
        <v>613</v>
      </c>
      <c r="Y256" t="s">
        <v>52</v>
      </c>
    </row>
    <row r="257" spans="1:25" x14ac:dyDescent="0.3">
      <c r="A257">
        <v>10421</v>
      </c>
      <c r="B257">
        <v>35</v>
      </c>
      <c r="C257">
        <v>100</v>
      </c>
      <c r="D257">
        <v>1</v>
      </c>
      <c r="E257">
        <v>5433.75</v>
      </c>
      <c r="F257" t="s">
        <v>686</v>
      </c>
      <c r="G257" t="s">
        <v>334</v>
      </c>
      <c r="H257">
        <v>2</v>
      </c>
      <c r="I257">
        <v>5</v>
      </c>
      <c r="J257">
        <v>2005</v>
      </c>
      <c r="K257" t="s">
        <v>630</v>
      </c>
      <c r="L257">
        <v>168</v>
      </c>
      <c r="M257" t="s">
        <v>697</v>
      </c>
      <c r="N257" t="s">
        <v>301</v>
      </c>
      <c r="O257">
        <v>4155551450</v>
      </c>
      <c r="P257" t="s">
        <v>302</v>
      </c>
      <c r="R257" t="s">
        <v>303</v>
      </c>
      <c r="S257" t="s">
        <v>57</v>
      </c>
      <c r="T257">
        <v>97562</v>
      </c>
      <c r="U257" t="s">
        <v>33</v>
      </c>
      <c r="V257" t="s">
        <v>34</v>
      </c>
      <c r="W257" t="s">
        <v>304</v>
      </c>
      <c r="X257" t="s">
        <v>305</v>
      </c>
      <c r="Y257" t="s">
        <v>52</v>
      </c>
    </row>
    <row r="258" spans="1:25" x14ac:dyDescent="0.3">
      <c r="A258">
        <v>10257</v>
      </c>
      <c r="B258">
        <v>50</v>
      </c>
      <c r="C258">
        <v>88.14</v>
      </c>
      <c r="D258">
        <v>1</v>
      </c>
      <c r="E258">
        <v>4407</v>
      </c>
      <c r="F258" t="s">
        <v>698</v>
      </c>
      <c r="G258" t="s">
        <v>26</v>
      </c>
      <c r="H258">
        <v>2</v>
      </c>
      <c r="I258">
        <v>6</v>
      </c>
      <c r="J258">
        <v>2004</v>
      </c>
      <c r="K258" t="s">
        <v>630</v>
      </c>
      <c r="L258">
        <v>101</v>
      </c>
      <c r="M258" t="s">
        <v>699</v>
      </c>
      <c r="N258" t="s">
        <v>448</v>
      </c>
      <c r="O258">
        <v>4085553659</v>
      </c>
      <c r="P258" t="s">
        <v>449</v>
      </c>
      <c r="R258" t="s">
        <v>450</v>
      </c>
      <c r="S258" t="s">
        <v>57</v>
      </c>
      <c r="T258">
        <v>94217</v>
      </c>
      <c r="U258" t="s">
        <v>33</v>
      </c>
      <c r="V258" t="s">
        <v>34</v>
      </c>
      <c r="W258" t="s">
        <v>108</v>
      </c>
      <c r="X258" t="s">
        <v>451</v>
      </c>
      <c r="Y258" t="s">
        <v>52</v>
      </c>
    </row>
    <row r="259" spans="1:25" x14ac:dyDescent="0.3">
      <c r="A259">
        <v>10423</v>
      </c>
      <c r="B259">
        <v>10</v>
      </c>
      <c r="C259">
        <v>88.14</v>
      </c>
      <c r="D259">
        <v>1</v>
      </c>
      <c r="E259">
        <v>881.4</v>
      </c>
      <c r="F259" t="s">
        <v>651</v>
      </c>
      <c r="G259" t="s">
        <v>334</v>
      </c>
      <c r="H259">
        <v>2</v>
      </c>
      <c r="I259">
        <v>5</v>
      </c>
      <c r="J259">
        <v>2005</v>
      </c>
      <c r="K259" t="s">
        <v>630</v>
      </c>
      <c r="L259">
        <v>101</v>
      </c>
      <c r="M259" t="s">
        <v>699</v>
      </c>
      <c r="N259" t="s">
        <v>409</v>
      </c>
      <c r="O259" t="s">
        <v>410</v>
      </c>
      <c r="P259" t="s">
        <v>411</v>
      </c>
      <c r="R259" t="s">
        <v>412</v>
      </c>
      <c r="T259" t="s">
        <v>413</v>
      </c>
      <c r="U259" t="s">
        <v>414</v>
      </c>
      <c r="V259" t="s">
        <v>43</v>
      </c>
      <c r="W259" t="s">
        <v>415</v>
      </c>
      <c r="X259" t="s">
        <v>416</v>
      </c>
      <c r="Y259" t="s">
        <v>37</v>
      </c>
    </row>
    <row r="260" spans="1:25" x14ac:dyDescent="0.3">
      <c r="A260">
        <v>10269</v>
      </c>
      <c r="B260">
        <v>32</v>
      </c>
      <c r="C260">
        <v>63.08</v>
      </c>
      <c r="D260">
        <v>1</v>
      </c>
      <c r="E260">
        <v>2018.56</v>
      </c>
      <c r="F260" t="s">
        <v>700</v>
      </c>
      <c r="G260" t="s">
        <v>26</v>
      </c>
      <c r="H260">
        <v>3</v>
      </c>
      <c r="I260">
        <v>7</v>
      </c>
      <c r="J260">
        <v>2004</v>
      </c>
      <c r="K260" t="s">
        <v>630</v>
      </c>
      <c r="L260">
        <v>62</v>
      </c>
      <c r="M260" t="s">
        <v>701</v>
      </c>
      <c r="N260" t="s">
        <v>158</v>
      </c>
      <c r="O260" t="s">
        <v>159</v>
      </c>
      <c r="P260" t="s">
        <v>160</v>
      </c>
      <c r="R260" t="s">
        <v>161</v>
      </c>
      <c r="T260">
        <v>5020</v>
      </c>
      <c r="U260" t="s">
        <v>162</v>
      </c>
      <c r="V260" t="s">
        <v>43</v>
      </c>
      <c r="W260" t="s">
        <v>163</v>
      </c>
      <c r="X260" t="s">
        <v>164</v>
      </c>
      <c r="Y260" t="s">
        <v>37</v>
      </c>
    </row>
    <row r="261" spans="1:25" x14ac:dyDescent="0.3">
      <c r="A261">
        <v>10392</v>
      </c>
      <c r="B261">
        <v>37</v>
      </c>
      <c r="C261">
        <v>59.96</v>
      </c>
      <c r="D261">
        <v>3</v>
      </c>
      <c r="E261">
        <v>2218.52</v>
      </c>
      <c r="F261" s="1">
        <v>38628</v>
      </c>
      <c r="G261" t="s">
        <v>26</v>
      </c>
      <c r="H261">
        <v>1</v>
      </c>
      <c r="I261">
        <v>3</v>
      </c>
      <c r="J261">
        <v>2005</v>
      </c>
      <c r="K261" t="s">
        <v>630</v>
      </c>
      <c r="L261">
        <v>62</v>
      </c>
      <c r="M261" t="s">
        <v>701</v>
      </c>
      <c r="N261" t="s">
        <v>461</v>
      </c>
      <c r="O261" t="s">
        <v>462</v>
      </c>
      <c r="P261" t="s">
        <v>463</v>
      </c>
      <c r="R261" t="s">
        <v>464</v>
      </c>
      <c r="T261">
        <v>8010</v>
      </c>
      <c r="U261" t="s">
        <v>162</v>
      </c>
      <c r="V261" t="s">
        <v>43</v>
      </c>
      <c r="W261" t="s">
        <v>465</v>
      </c>
      <c r="X261" t="s">
        <v>466</v>
      </c>
      <c r="Y261" t="s">
        <v>37</v>
      </c>
    </row>
    <row r="262" spans="1:25" x14ac:dyDescent="0.3">
      <c r="A262">
        <v>10130</v>
      </c>
      <c r="B262">
        <v>40</v>
      </c>
      <c r="C262">
        <v>96.34</v>
      </c>
      <c r="D262">
        <v>2</v>
      </c>
      <c r="E262">
        <v>3853.6</v>
      </c>
      <c r="F262" t="s">
        <v>660</v>
      </c>
      <c r="G262" t="s">
        <v>26</v>
      </c>
      <c r="H262">
        <v>2</v>
      </c>
      <c r="I262">
        <v>6</v>
      </c>
      <c r="J262">
        <v>2003</v>
      </c>
      <c r="K262" t="s">
        <v>702</v>
      </c>
      <c r="L262">
        <v>86</v>
      </c>
      <c r="M262" t="s">
        <v>703</v>
      </c>
      <c r="N262" t="s">
        <v>704</v>
      </c>
      <c r="O262">
        <v>6175558428</v>
      </c>
      <c r="P262" t="s">
        <v>705</v>
      </c>
      <c r="R262" t="s">
        <v>315</v>
      </c>
      <c r="S262" t="s">
        <v>133</v>
      </c>
      <c r="T262">
        <v>58339</v>
      </c>
      <c r="U262" t="s">
        <v>33</v>
      </c>
      <c r="V262" t="s">
        <v>34</v>
      </c>
      <c r="W262" t="s">
        <v>605</v>
      </c>
      <c r="X262" t="s">
        <v>270</v>
      </c>
      <c r="Y262" t="s">
        <v>52</v>
      </c>
    </row>
    <row r="263" spans="1:25" x14ac:dyDescent="0.3">
      <c r="A263">
        <v>10128</v>
      </c>
      <c r="B263">
        <v>41</v>
      </c>
      <c r="C263">
        <v>100</v>
      </c>
      <c r="D263">
        <v>2</v>
      </c>
      <c r="E263">
        <v>5544.02</v>
      </c>
      <c r="F263" s="1">
        <v>37778</v>
      </c>
      <c r="G263" t="s">
        <v>26</v>
      </c>
      <c r="H263">
        <v>2</v>
      </c>
      <c r="I263">
        <v>6</v>
      </c>
      <c r="J263">
        <v>2003</v>
      </c>
      <c r="K263" t="s">
        <v>630</v>
      </c>
      <c r="L263">
        <v>136</v>
      </c>
      <c r="M263" t="s">
        <v>706</v>
      </c>
      <c r="N263" t="s">
        <v>190</v>
      </c>
      <c r="O263" t="s">
        <v>191</v>
      </c>
      <c r="P263" t="s">
        <v>192</v>
      </c>
      <c r="R263" t="s">
        <v>193</v>
      </c>
      <c r="T263">
        <v>28034</v>
      </c>
      <c r="U263" t="s">
        <v>194</v>
      </c>
      <c r="V263" t="s">
        <v>43</v>
      </c>
      <c r="W263" t="s">
        <v>195</v>
      </c>
      <c r="X263" t="s">
        <v>196</v>
      </c>
      <c r="Y263" t="s">
        <v>52</v>
      </c>
    </row>
    <row r="264" spans="1:25" x14ac:dyDescent="0.3">
      <c r="A264">
        <v>10166</v>
      </c>
      <c r="B264">
        <v>43</v>
      </c>
      <c r="C264">
        <v>100</v>
      </c>
      <c r="D264">
        <v>2</v>
      </c>
      <c r="E264">
        <v>6930.74</v>
      </c>
      <c r="F264" t="s">
        <v>459</v>
      </c>
      <c r="G264" t="s">
        <v>26</v>
      </c>
      <c r="H264">
        <v>4</v>
      </c>
      <c r="I264">
        <v>10</v>
      </c>
      <c r="J264">
        <v>2003</v>
      </c>
      <c r="K264" t="s">
        <v>630</v>
      </c>
      <c r="L264">
        <v>136</v>
      </c>
      <c r="M264" t="s">
        <v>706</v>
      </c>
      <c r="N264" t="s">
        <v>175</v>
      </c>
      <c r="O264">
        <v>5085552555</v>
      </c>
      <c r="P264" t="s">
        <v>176</v>
      </c>
      <c r="R264" t="s">
        <v>177</v>
      </c>
      <c r="S264" t="s">
        <v>133</v>
      </c>
      <c r="T264">
        <v>50553</v>
      </c>
      <c r="U264" t="s">
        <v>33</v>
      </c>
      <c r="V264" t="s">
        <v>34</v>
      </c>
      <c r="W264" t="s">
        <v>178</v>
      </c>
      <c r="X264" t="s">
        <v>179</v>
      </c>
      <c r="Y264" t="s">
        <v>52</v>
      </c>
    </row>
    <row r="265" spans="1:25" x14ac:dyDescent="0.3">
      <c r="A265">
        <v>10177</v>
      </c>
      <c r="B265">
        <v>23</v>
      </c>
      <c r="C265">
        <v>100</v>
      </c>
      <c r="D265">
        <v>9</v>
      </c>
      <c r="E265">
        <v>3675.63</v>
      </c>
      <c r="F265" s="1">
        <v>37813</v>
      </c>
      <c r="G265" t="s">
        <v>26</v>
      </c>
      <c r="H265">
        <v>4</v>
      </c>
      <c r="I265">
        <v>11</v>
      </c>
      <c r="J265">
        <v>2003</v>
      </c>
      <c r="K265" t="s">
        <v>630</v>
      </c>
      <c r="L265">
        <v>136</v>
      </c>
      <c r="M265" t="s">
        <v>706</v>
      </c>
      <c r="N265" t="s">
        <v>552</v>
      </c>
      <c r="O265" t="s">
        <v>553</v>
      </c>
      <c r="P265" t="s">
        <v>554</v>
      </c>
      <c r="R265" t="s">
        <v>193</v>
      </c>
      <c r="T265">
        <v>28023</v>
      </c>
      <c r="U265" t="s">
        <v>194</v>
      </c>
      <c r="V265" t="s">
        <v>43</v>
      </c>
      <c r="W265" t="s">
        <v>555</v>
      </c>
      <c r="X265" t="s">
        <v>556</v>
      </c>
      <c r="Y265" t="s">
        <v>52</v>
      </c>
    </row>
    <row r="266" spans="1:25" x14ac:dyDescent="0.3">
      <c r="A266">
        <v>10221</v>
      </c>
      <c r="B266">
        <v>33</v>
      </c>
      <c r="C266">
        <v>100</v>
      </c>
      <c r="D266">
        <v>3</v>
      </c>
      <c r="E266">
        <v>4417.38</v>
      </c>
      <c r="F266" t="s">
        <v>707</v>
      </c>
      <c r="G266" t="s">
        <v>26</v>
      </c>
      <c r="H266">
        <v>1</v>
      </c>
      <c r="I266">
        <v>2</v>
      </c>
      <c r="J266">
        <v>2004</v>
      </c>
      <c r="K266" t="s">
        <v>630</v>
      </c>
      <c r="L266">
        <v>136</v>
      </c>
      <c r="M266" t="s">
        <v>706</v>
      </c>
      <c r="N266" t="s">
        <v>409</v>
      </c>
      <c r="O266" t="s">
        <v>410</v>
      </c>
      <c r="P266" t="s">
        <v>411</v>
      </c>
      <c r="R266" t="s">
        <v>412</v>
      </c>
      <c r="T266" t="s">
        <v>413</v>
      </c>
      <c r="U266" t="s">
        <v>414</v>
      </c>
      <c r="V266" t="s">
        <v>43</v>
      </c>
      <c r="W266" t="s">
        <v>415</v>
      </c>
      <c r="X266" t="s">
        <v>416</v>
      </c>
      <c r="Y266" t="s">
        <v>52</v>
      </c>
    </row>
    <row r="267" spans="1:25" x14ac:dyDescent="0.3">
      <c r="A267">
        <v>10232</v>
      </c>
      <c r="B267">
        <v>22</v>
      </c>
      <c r="C267">
        <v>100</v>
      </c>
      <c r="D267">
        <v>6</v>
      </c>
      <c r="E267">
        <v>3606.02</v>
      </c>
      <c r="F267" t="s">
        <v>708</v>
      </c>
      <c r="G267" t="s">
        <v>26</v>
      </c>
      <c r="H267">
        <v>1</v>
      </c>
      <c r="I267">
        <v>3</v>
      </c>
      <c r="J267">
        <v>2004</v>
      </c>
      <c r="K267" t="s">
        <v>630</v>
      </c>
      <c r="L267">
        <v>136</v>
      </c>
      <c r="M267" t="s">
        <v>706</v>
      </c>
      <c r="N267" t="s">
        <v>429</v>
      </c>
      <c r="O267" t="s">
        <v>430</v>
      </c>
      <c r="P267" t="s">
        <v>431</v>
      </c>
      <c r="R267" t="s">
        <v>432</v>
      </c>
      <c r="S267" t="s">
        <v>433</v>
      </c>
      <c r="T267" t="s">
        <v>434</v>
      </c>
      <c r="U267" t="s">
        <v>185</v>
      </c>
      <c r="V267" t="s">
        <v>43</v>
      </c>
      <c r="W267" t="s">
        <v>435</v>
      </c>
      <c r="X267" t="s">
        <v>436</v>
      </c>
      <c r="Y267" t="s">
        <v>52</v>
      </c>
    </row>
    <row r="268" spans="1:25" x14ac:dyDescent="0.3">
      <c r="A268">
        <v>10394</v>
      </c>
      <c r="B268">
        <v>22</v>
      </c>
      <c r="C268">
        <v>100</v>
      </c>
      <c r="D268">
        <v>5</v>
      </c>
      <c r="E268">
        <v>3353.02</v>
      </c>
      <c r="F268" t="s">
        <v>709</v>
      </c>
      <c r="G268" t="s">
        <v>26</v>
      </c>
      <c r="H268">
        <v>1</v>
      </c>
      <c r="I268">
        <v>3</v>
      </c>
      <c r="J268">
        <v>2005</v>
      </c>
      <c r="K268" t="s">
        <v>198</v>
      </c>
      <c r="L268">
        <v>169</v>
      </c>
      <c r="M268" t="s">
        <v>710</v>
      </c>
      <c r="N268" t="s">
        <v>190</v>
      </c>
      <c r="O268" t="s">
        <v>191</v>
      </c>
      <c r="P268" t="s">
        <v>192</v>
      </c>
      <c r="R268" t="s">
        <v>193</v>
      </c>
      <c r="T268">
        <v>28034</v>
      </c>
      <c r="U268" t="s">
        <v>194</v>
      </c>
      <c r="V268" t="s">
        <v>43</v>
      </c>
      <c r="W268" t="s">
        <v>195</v>
      </c>
      <c r="X268" t="s">
        <v>196</v>
      </c>
      <c r="Y268" t="s">
        <v>52</v>
      </c>
    </row>
    <row r="269" spans="1:25" x14ac:dyDescent="0.3">
      <c r="A269">
        <v>10326</v>
      </c>
      <c r="B269">
        <v>32</v>
      </c>
      <c r="C269">
        <v>100</v>
      </c>
      <c r="D269">
        <v>6</v>
      </c>
      <c r="E269">
        <v>3807.68</v>
      </c>
      <c r="F269" s="1">
        <v>38241</v>
      </c>
      <c r="G269" t="s">
        <v>26</v>
      </c>
      <c r="H269">
        <v>4</v>
      </c>
      <c r="I269">
        <v>11</v>
      </c>
      <c r="J269">
        <v>2004</v>
      </c>
      <c r="K269" t="s">
        <v>711</v>
      </c>
      <c r="L269">
        <v>100</v>
      </c>
      <c r="M269" t="s">
        <v>712</v>
      </c>
      <c r="N269" t="s">
        <v>201</v>
      </c>
      <c r="O269" t="s">
        <v>202</v>
      </c>
      <c r="P269" t="s">
        <v>203</v>
      </c>
      <c r="R269" t="s">
        <v>204</v>
      </c>
      <c r="T269" t="s">
        <v>205</v>
      </c>
      <c r="U269" t="s">
        <v>206</v>
      </c>
      <c r="V269" t="s">
        <v>43</v>
      </c>
      <c r="W269" t="s">
        <v>207</v>
      </c>
      <c r="X269" t="s">
        <v>208</v>
      </c>
      <c r="Y269" t="s">
        <v>52</v>
      </c>
    </row>
    <row r="270" spans="1:25" x14ac:dyDescent="0.3">
      <c r="A270">
        <v>10252</v>
      </c>
      <c r="B270">
        <v>20</v>
      </c>
      <c r="C270">
        <v>76.39</v>
      </c>
      <c r="D270">
        <v>2</v>
      </c>
      <c r="E270">
        <v>1527.8</v>
      </c>
      <c r="F270" t="s">
        <v>713</v>
      </c>
      <c r="G270" t="s">
        <v>26</v>
      </c>
      <c r="H270">
        <v>2</v>
      </c>
      <c r="I270">
        <v>5</v>
      </c>
      <c r="J270">
        <v>2004</v>
      </c>
      <c r="K270" t="s">
        <v>198</v>
      </c>
      <c r="L270">
        <v>80</v>
      </c>
      <c r="M270" t="s">
        <v>714</v>
      </c>
      <c r="N270" t="s">
        <v>89</v>
      </c>
      <c r="O270" t="s">
        <v>90</v>
      </c>
      <c r="P270" t="s">
        <v>91</v>
      </c>
      <c r="R270" t="s">
        <v>49</v>
      </c>
      <c r="T270">
        <v>75016</v>
      </c>
      <c r="U270" t="s">
        <v>42</v>
      </c>
      <c r="V270" t="s">
        <v>43</v>
      </c>
      <c r="W270" t="s">
        <v>92</v>
      </c>
      <c r="X270" t="s">
        <v>93</v>
      </c>
      <c r="Y270" t="s">
        <v>37</v>
      </c>
    </row>
    <row r="271" spans="1:25" x14ac:dyDescent="0.3">
      <c r="A271">
        <v>10265</v>
      </c>
      <c r="B271">
        <v>45</v>
      </c>
      <c r="C271">
        <v>86.84</v>
      </c>
      <c r="D271">
        <v>2</v>
      </c>
      <c r="E271">
        <v>3907.8</v>
      </c>
      <c r="F271" s="1">
        <v>38024</v>
      </c>
      <c r="G271" t="s">
        <v>26</v>
      </c>
      <c r="H271">
        <v>3</v>
      </c>
      <c r="I271">
        <v>7</v>
      </c>
      <c r="J271">
        <v>2004</v>
      </c>
      <c r="K271" t="s">
        <v>198</v>
      </c>
      <c r="L271">
        <v>80</v>
      </c>
      <c r="M271" t="s">
        <v>714</v>
      </c>
      <c r="N271" t="s">
        <v>643</v>
      </c>
      <c r="O271" t="s">
        <v>644</v>
      </c>
      <c r="P271" t="s">
        <v>645</v>
      </c>
      <c r="R271" t="s">
        <v>646</v>
      </c>
      <c r="S271" t="s">
        <v>100</v>
      </c>
      <c r="T271">
        <v>3150</v>
      </c>
      <c r="U271" t="s">
        <v>101</v>
      </c>
      <c r="V271" t="s">
        <v>102</v>
      </c>
      <c r="W271" t="s">
        <v>647</v>
      </c>
      <c r="X271" t="s">
        <v>648</v>
      </c>
      <c r="Y271" t="s">
        <v>52</v>
      </c>
    </row>
    <row r="272" spans="1:25" x14ac:dyDescent="0.3">
      <c r="A272">
        <v>10290</v>
      </c>
      <c r="B272">
        <v>26</v>
      </c>
      <c r="C272">
        <v>96.23</v>
      </c>
      <c r="D272">
        <v>2</v>
      </c>
      <c r="E272">
        <v>2501.98</v>
      </c>
      <c r="F272" s="1">
        <v>38177</v>
      </c>
      <c r="G272" t="s">
        <v>26</v>
      </c>
      <c r="H272">
        <v>3</v>
      </c>
      <c r="I272">
        <v>9</v>
      </c>
      <c r="J272">
        <v>2004</v>
      </c>
      <c r="K272" t="s">
        <v>630</v>
      </c>
      <c r="L272">
        <v>99</v>
      </c>
      <c r="M272" t="s">
        <v>715</v>
      </c>
      <c r="N272" t="s">
        <v>704</v>
      </c>
      <c r="O272">
        <v>6175558428</v>
      </c>
      <c r="P272" t="s">
        <v>705</v>
      </c>
      <c r="R272" t="s">
        <v>315</v>
      </c>
      <c r="S272" t="s">
        <v>133</v>
      </c>
      <c r="T272">
        <v>58339</v>
      </c>
      <c r="U272" t="s">
        <v>33</v>
      </c>
      <c r="V272" t="s">
        <v>34</v>
      </c>
      <c r="W272" t="s">
        <v>605</v>
      </c>
      <c r="X272" t="s">
        <v>270</v>
      </c>
      <c r="Y272" t="s">
        <v>37</v>
      </c>
    </row>
    <row r="273" spans="1:25" x14ac:dyDescent="0.3">
      <c r="A273">
        <v>10323</v>
      </c>
      <c r="B273">
        <v>33</v>
      </c>
      <c r="C273">
        <v>91.27</v>
      </c>
      <c r="D273">
        <v>2</v>
      </c>
      <c r="E273">
        <v>3011.91</v>
      </c>
      <c r="F273" s="1">
        <v>38118</v>
      </c>
      <c r="G273" t="s">
        <v>26</v>
      </c>
      <c r="H273">
        <v>4</v>
      </c>
      <c r="I273">
        <v>11</v>
      </c>
      <c r="J273">
        <v>2004</v>
      </c>
      <c r="K273" t="s">
        <v>630</v>
      </c>
      <c r="L273">
        <v>99</v>
      </c>
      <c r="M273" t="s">
        <v>715</v>
      </c>
      <c r="N273" t="s">
        <v>521</v>
      </c>
      <c r="O273" t="s">
        <v>522</v>
      </c>
      <c r="P273" t="s">
        <v>523</v>
      </c>
      <c r="R273" t="s">
        <v>524</v>
      </c>
      <c r="T273">
        <v>60528</v>
      </c>
      <c r="U273" t="s">
        <v>500</v>
      </c>
      <c r="V273" t="s">
        <v>43</v>
      </c>
      <c r="W273" t="s">
        <v>525</v>
      </c>
      <c r="X273" t="s">
        <v>466</v>
      </c>
      <c r="Y273" t="s">
        <v>52</v>
      </c>
    </row>
    <row r="274" spans="1:25" x14ac:dyDescent="0.3">
      <c r="A274">
        <v>10330</v>
      </c>
      <c r="B274">
        <v>37</v>
      </c>
      <c r="C274">
        <v>100</v>
      </c>
      <c r="D274">
        <v>3</v>
      </c>
      <c r="E274">
        <v>4405.22</v>
      </c>
      <c r="F274" t="s">
        <v>716</v>
      </c>
      <c r="G274" t="s">
        <v>26</v>
      </c>
      <c r="H274">
        <v>4</v>
      </c>
      <c r="I274">
        <v>11</v>
      </c>
      <c r="J274">
        <v>2004</v>
      </c>
      <c r="K274" t="s">
        <v>198</v>
      </c>
      <c r="L274">
        <v>146</v>
      </c>
      <c r="M274" t="s">
        <v>717</v>
      </c>
      <c r="N274" t="s">
        <v>481</v>
      </c>
      <c r="O274" t="s">
        <v>482</v>
      </c>
      <c r="P274" t="s">
        <v>483</v>
      </c>
      <c r="R274" t="s">
        <v>484</v>
      </c>
      <c r="T274" t="s">
        <v>485</v>
      </c>
      <c r="U274" t="s">
        <v>486</v>
      </c>
      <c r="V274" t="s">
        <v>221</v>
      </c>
      <c r="W274" t="s">
        <v>487</v>
      </c>
      <c r="X274" t="s">
        <v>488</v>
      </c>
      <c r="Y274" t="s">
        <v>52</v>
      </c>
    </row>
    <row r="275" spans="1:25" x14ac:dyDescent="0.3">
      <c r="A275">
        <v>10355</v>
      </c>
      <c r="B275">
        <v>23</v>
      </c>
      <c r="C275">
        <v>100</v>
      </c>
      <c r="D275">
        <v>7</v>
      </c>
      <c r="E275">
        <v>3177.91</v>
      </c>
      <c r="F275" s="1">
        <v>38180</v>
      </c>
      <c r="G275" t="s">
        <v>26</v>
      </c>
      <c r="H275">
        <v>4</v>
      </c>
      <c r="I275">
        <v>12</v>
      </c>
      <c r="J275">
        <v>2004</v>
      </c>
      <c r="K275" t="s">
        <v>198</v>
      </c>
      <c r="L275">
        <v>146</v>
      </c>
      <c r="M275" t="s">
        <v>717</v>
      </c>
      <c r="N275" t="s">
        <v>190</v>
      </c>
      <c r="O275" t="s">
        <v>191</v>
      </c>
      <c r="P275" t="s">
        <v>192</v>
      </c>
      <c r="R275" t="s">
        <v>193</v>
      </c>
      <c r="T275">
        <v>28034</v>
      </c>
      <c r="U275" t="s">
        <v>194</v>
      </c>
      <c r="V275" t="s">
        <v>43</v>
      </c>
      <c r="W275" t="s">
        <v>195</v>
      </c>
      <c r="X275" t="s">
        <v>196</v>
      </c>
      <c r="Y275" t="s">
        <v>52</v>
      </c>
    </row>
    <row r="276" spans="1:25" x14ac:dyDescent="0.3">
      <c r="A276">
        <v>10146</v>
      </c>
      <c r="B276">
        <v>47</v>
      </c>
      <c r="C276">
        <v>67.14</v>
      </c>
      <c r="D276">
        <v>2</v>
      </c>
      <c r="E276">
        <v>3155.58</v>
      </c>
      <c r="F276" s="1">
        <v>37689</v>
      </c>
      <c r="G276" t="s">
        <v>26</v>
      </c>
      <c r="H276">
        <v>3</v>
      </c>
      <c r="I276">
        <v>9</v>
      </c>
      <c r="J276">
        <v>2003</v>
      </c>
      <c r="K276" t="s">
        <v>27</v>
      </c>
      <c r="L276">
        <v>62</v>
      </c>
      <c r="M276" t="s">
        <v>718</v>
      </c>
      <c r="N276" t="s">
        <v>661</v>
      </c>
      <c r="O276">
        <v>2035554407</v>
      </c>
      <c r="P276" t="s">
        <v>662</v>
      </c>
      <c r="R276" t="s">
        <v>590</v>
      </c>
      <c r="S276" t="s">
        <v>120</v>
      </c>
      <c r="T276">
        <v>97561</v>
      </c>
      <c r="U276" t="s">
        <v>33</v>
      </c>
      <c r="V276" t="s">
        <v>34</v>
      </c>
      <c r="W276" t="s">
        <v>663</v>
      </c>
      <c r="X276" t="s">
        <v>664</v>
      </c>
      <c r="Y276" t="s">
        <v>52</v>
      </c>
    </row>
    <row r="277" spans="1:25" x14ac:dyDescent="0.3">
      <c r="A277">
        <v>10264</v>
      </c>
      <c r="B277">
        <v>48</v>
      </c>
      <c r="C277">
        <v>54.71</v>
      </c>
      <c r="D277">
        <v>3</v>
      </c>
      <c r="E277">
        <v>2626.08</v>
      </c>
      <c r="F277" t="s">
        <v>719</v>
      </c>
      <c r="G277" t="s">
        <v>26</v>
      </c>
      <c r="H277">
        <v>2</v>
      </c>
      <c r="I277">
        <v>6</v>
      </c>
      <c r="J277">
        <v>2004</v>
      </c>
      <c r="K277" t="s">
        <v>27</v>
      </c>
      <c r="L277">
        <v>62</v>
      </c>
      <c r="M277" t="s">
        <v>718</v>
      </c>
      <c r="N277" t="s">
        <v>424</v>
      </c>
      <c r="O277">
        <v>6175559555</v>
      </c>
      <c r="P277" t="s">
        <v>425</v>
      </c>
      <c r="R277" t="s">
        <v>426</v>
      </c>
      <c r="S277" t="s">
        <v>133</v>
      </c>
      <c r="T277">
        <v>51003</v>
      </c>
      <c r="U277" t="s">
        <v>33</v>
      </c>
      <c r="V277" t="s">
        <v>34</v>
      </c>
      <c r="W277" t="s">
        <v>427</v>
      </c>
      <c r="X277" t="s">
        <v>69</v>
      </c>
      <c r="Y277" t="s">
        <v>37</v>
      </c>
    </row>
    <row r="278" spans="1:25" x14ac:dyDescent="0.3">
      <c r="A278">
        <v>10286</v>
      </c>
      <c r="B278">
        <v>38</v>
      </c>
      <c r="C278">
        <v>57.2</v>
      </c>
      <c r="D278">
        <v>1</v>
      </c>
      <c r="E278">
        <v>2173.6</v>
      </c>
      <c r="F278" t="s">
        <v>720</v>
      </c>
      <c r="G278" t="s">
        <v>26</v>
      </c>
      <c r="H278">
        <v>3</v>
      </c>
      <c r="I278">
        <v>8</v>
      </c>
      <c r="J278">
        <v>2004</v>
      </c>
      <c r="K278" t="s">
        <v>27</v>
      </c>
      <c r="L278">
        <v>62</v>
      </c>
      <c r="M278" t="s">
        <v>718</v>
      </c>
      <c r="N278" t="s">
        <v>454</v>
      </c>
      <c r="O278" t="s">
        <v>455</v>
      </c>
      <c r="P278" t="s">
        <v>456</v>
      </c>
      <c r="R278" t="s">
        <v>49</v>
      </c>
      <c r="T278">
        <v>75012</v>
      </c>
      <c r="U278" t="s">
        <v>42</v>
      </c>
      <c r="V278" t="s">
        <v>43</v>
      </c>
      <c r="W278" t="s">
        <v>457</v>
      </c>
      <c r="X278" t="s">
        <v>458</v>
      </c>
      <c r="Y278" t="s">
        <v>37</v>
      </c>
    </row>
    <row r="279" spans="1:25" x14ac:dyDescent="0.3">
      <c r="A279">
        <v>10249</v>
      </c>
      <c r="B279">
        <v>46</v>
      </c>
      <c r="C279">
        <v>100</v>
      </c>
      <c r="D279">
        <v>5</v>
      </c>
      <c r="E279">
        <v>5600.5</v>
      </c>
      <c r="F279" s="1">
        <v>38204</v>
      </c>
      <c r="G279" t="s">
        <v>26</v>
      </c>
      <c r="H279">
        <v>2</v>
      </c>
      <c r="I279">
        <v>5</v>
      </c>
      <c r="J279">
        <v>2004</v>
      </c>
      <c r="K279" t="s">
        <v>630</v>
      </c>
      <c r="L279">
        <v>105</v>
      </c>
      <c r="M279" t="s">
        <v>721</v>
      </c>
      <c r="N279" t="s">
        <v>264</v>
      </c>
      <c r="O279">
        <v>6175555555</v>
      </c>
      <c r="P279" t="s">
        <v>265</v>
      </c>
      <c r="R279" t="s">
        <v>132</v>
      </c>
      <c r="S279" t="s">
        <v>133</v>
      </c>
      <c r="T279">
        <v>51247</v>
      </c>
      <c r="U279" t="s">
        <v>33</v>
      </c>
      <c r="V279" t="s">
        <v>34</v>
      </c>
      <c r="W279" t="s">
        <v>266</v>
      </c>
      <c r="X279" t="s">
        <v>155</v>
      </c>
      <c r="Y279" t="s">
        <v>52</v>
      </c>
    </row>
    <row r="280" spans="1:25" x14ac:dyDescent="0.3">
      <c r="A280">
        <v>10328</v>
      </c>
      <c r="B280">
        <v>34</v>
      </c>
      <c r="C280">
        <v>100</v>
      </c>
      <c r="D280">
        <v>6</v>
      </c>
      <c r="E280">
        <v>3815.48</v>
      </c>
      <c r="F280" s="1">
        <v>38332</v>
      </c>
      <c r="G280" t="s">
        <v>26</v>
      </c>
      <c r="H280">
        <v>4</v>
      </c>
      <c r="I280">
        <v>11</v>
      </c>
      <c r="J280">
        <v>2004</v>
      </c>
      <c r="K280" t="s">
        <v>630</v>
      </c>
      <c r="L280">
        <v>105</v>
      </c>
      <c r="M280" t="s">
        <v>721</v>
      </c>
      <c r="N280" t="s">
        <v>636</v>
      </c>
      <c r="O280" t="s">
        <v>637</v>
      </c>
      <c r="P280" t="s">
        <v>638</v>
      </c>
      <c r="R280" t="s">
        <v>639</v>
      </c>
      <c r="T280">
        <v>24100</v>
      </c>
      <c r="U280" t="s">
        <v>286</v>
      </c>
      <c r="V280" t="s">
        <v>43</v>
      </c>
      <c r="W280" t="s">
        <v>640</v>
      </c>
      <c r="X280" t="s">
        <v>641</v>
      </c>
      <c r="Y280" t="s">
        <v>52</v>
      </c>
    </row>
    <row r="281" spans="1:25" x14ac:dyDescent="0.3">
      <c r="A281">
        <v>10415</v>
      </c>
      <c r="B281">
        <v>51</v>
      </c>
      <c r="C281">
        <v>100</v>
      </c>
      <c r="D281">
        <v>5</v>
      </c>
      <c r="E281">
        <v>6209.25</v>
      </c>
      <c r="F281" s="1">
        <v>38600</v>
      </c>
      <c r="G281" t="s">
        <v>189</v>
      </c>
      <c r="H281">
        <v>2</v>
      </c>
      <c r="I281">
        <v>5</v>
      </c>
      <c r="J281">
        <v>2005</v>
      </c>
      <c r="K281" t="s">
        <v>630</v>
      </c>
      <c r="L281">
        <v>105</v>
      </c>
      <c r="M281" t="s">
        <v>721</v>
      </c>
      <c r="N281" t="s">
        <v>643</v>
      </c>
      <c r="O281" t="s">
        <v>644</v>
      </c>
      <c r="P281" t="s">
        <v>645</v>
      </c>
      <c r="R281" t="s">
        <v>646</v>
      </c>
      <c r="S281" t="s">
        <v>100</v>
      </c>
      <c r="T281">
        <v>3150</v>
      </c>
      <c r="U281" t="s">
        <v>101</v>
      </c>
      <c r="V281" t="s">
        <v>102</v>
      </c>
      <c r="W281" t="s">
        <v>647</v>
      </c>
      <c r="X281" t="s">
        <v>648</v>
      </c>
      <c r="Y281" t="s">
        <v>52</v>
      </c>
    </row>
    <row r="282" spans="1:25" x14ac:dyDescent="0.3">
      <c r="A282">
        <v>10152</v>
      </c>
      <c r="B282">
        <v>35</v>
      </c>
      <c r="C282">
        <v>100</v>
      </c>
      <c r="D282">
        <v>1</v>
      </c>
      <c r="E282">
        <v>4524.1000000000004</v>
      </c>
      <c r="F282" t="s">
        <v>722</v>
      </c>
      <c r="G282" t="s">
        <v>26</v>
      </c>
      <c r="H282">
        <v>3</v>
      </c>
      <c r="I282">
        <v>9</v>
      </c>
      <c r="J282">
        <v>2003</v>
      </c>
      <c r="K282" t="s">
        <v>198</v>
      </c>
      <c r="L282">
        <v>143</v>
      </c>
      <c r="M282" t="s">
        <v>723</v>
      </c>
      <c r="N282" t="s">
        <v>229</v>
      </c>
      <c r="O282" t="s">
        <v>230</v>
      </c>
      <c r="P282" t="s">
        <v>231</v>
      </c>
      <c r="R282" t="s">
        <v>232</v>
      </c>
      <c r="S282" t="s">
        <v>233</v>
      </c>
      <c r="T282">
        <v>4101</v>
      </c>
      <c r="U282" t="s">
        <v>101</v>
      </c>
      <c r="V282" t="s">
        <v>102</v>
      </c>
      <c r="W282" t="s">
        <v>234</v>
      </c>
      <c r="X282" t="s">
        <v>235</v>
      </c>
      <c r="Y282" t="s">
        <v>52</v>
      </c>
    </row>
    <row r="283" spans="1:25" x14ac:dyDescent="0.3">
      <c r="A283">
        <v>10213</v>
      </c>
      <c r="B283">
        <v>38</v>
      </c>
      <c r="C283">
        <v>94.79</v>
      </c>
      <c r="D283">
        <v>1</v>
      </c>
      <c r="E283">
        <v>3602.02</v>
      </c>
      <c r="F283" t="s">
        <v>724</v>
      </c>
      <c r="G283" t="s">
        <v>26</v>
      </c>
      <c r="H283">
        <v>1</v>
      </c>
      <c r="I283">
        <v>1</v>
      </c>
      <c r="J283">
        <v>2004</v>
      </c>
      <c r="K283" t="s">
        <v>630</v>
      </c>
      <c r="L283">
        <v>92</v>
      </c>
      <c r="M283" t="s">
        <v>725</v>
      </c>
      <c r="N283" t="s">
        <v>386</v>
      </c>
      <c r="O283" t="s">
        <v>387</v>
      </c>
      <c r="P283" t="s">
        <v>388</v>
      </c>
      <c r="R283" t="s">
        <v>370</v>
      </c>
      <c r="T283" t="s">
        <v>389</v>
      </c>
      <c r="U283" t="s">
        <v>185</v>
      </c>
      <c r="V283" t="s">
        <v>43</v>
      </c>
      <c r="W283" t="s">
        <v>390</v>
      </c>
      <c r="X283" t="s">
        <v>391</v>
      </c>
      <c r="Y283" t="s">
        <v>52</v>
      </c>
    </row>
    <row r="284" spans="1:25" x14ac:dyDescent="0.3">
      <c r="A284">
        <v>10315</v>
      </c>
      <c r="B284">
        <v>36</v>
      </c>
      <c r="C284">
        <v>100</v>
      </c>
      <c r="D284">
        <v>7</v>
      </c>
      <c r="E284">
        <v>3602.16</v>
      </c>
      <c r="F284" t="s">
        <v>726</v>
      </c>
      <c r="G284" t="s">
        <v>26</v>
      </c>
      <c r="H284">
        <v>4</v>
      </c>
      <c r="I284">
        <v>10</v>
      </c>
      <c r="J284">
        <v>2004</v>
      </c>
      <c r="K284" t="s">
        <v>630</v>
      </c>
      <c r="L284">
        <v>87</v>
      </c>
      <c r="M284" t="s">
        <v>727</v>
      </c>
      <c r="N284" t="s">
        <v>123</v>
      </c>
      <c r="O284" t="s">
        <v>124</v>
      </c>
      <c r="P284" t="s">
        <v>125</v>
      </c>
      <c r="R284" t="s">
        <v>126</v>
      </c>
      <c r="T284">
        <v>44000</v>
      </c>
      <c r="U284" t="s">
        <v>42</v>
      </c>
      <c r="V284" t="s">
        <v>43</v>
      </c>
      <c r="W284" t="s">
        <v>127</v>
      </c>
      <c r="X284" t="s">
        <v>128</v>
      </c>
      <c r="Y284" t="s">
        <v>52</v>
      </c>
    </row>
    <row r="285" spans="1:25" x14ac:dyDescent="0.3">
      <c r="A285">
        <v>10267</v>
      </c>
      <c r="B285">
        <v>36</v>
      </c>
      <c r="C285">
        <v>75.55</v>
      </c>
      <c r="D285">
        <v>1</v>
      </c>
      <c r="E285">
        <v>2719.8</v>
      </c>
      <c r="F285" s="1">
        <v>38175</v>
      </c>
      <c r="G285" t="s">
        <v>26</v>
      </c>
      <c r="H285">
        <v>3</v>
      </c>
      <c r="I285">
        <v>7</v>
      </c>
      <c r="J285">
        <v>2004</v>
      </c>
      <c r="K285" t="s">
        <v>198</v>
      </c>
      <c r="L285">
        <v>71</v>
      </c>
      <c r="M285" t="s">
        <v>728</v>
      </c>
      <c r="N285" t="s">
        <v>537</v>
      </c>
      <c r="O285">
        <v>2125557413</v>
      </c>
      <c r="P285" t="s">
        <v>538</v>
      </c>
      <c r="Q285" t="s">
        <v>539</v>
      </c>
      <c r="R285" t="s">
        <v>31</v>
      </c>
      <c r="S285" t="s">
        <v>32</v>
      </c>
      <c r="T285">
        <v>10022</v>
      </c>
      <c r="U285" t="s">
        <v>33</v>
      </c>
      <c r="V285" t="s">
        <v>34</v>
      </c>
      <c r="W285" t="s">
        <v>58</v>
      </c>
      <c r="X285" t="s">
        <v>540</v>
      </c>
      <c r="Y285" t="s">
        <v>37</v>
      </c>
    </row>
    <row r="286" spans="1:25" x14ac:dyDescent="0.3">
      <c r="A286">
        <v>10279</v>
      </c>
      <c r="B286">
        <v>26</v>
      </c>
      <c r="C286">
        <v>60.58</v>
      </c>
      <c r="D286">
        <v>1</v>
      </c>
      <c r="E286">
        <v>1575.08</v>
      </c>
      <c r="F286" s="1">
        <v>38238</v>
      </c>
      <c r="G286" t="s">
        <v>26</v>
      </c>
      <c r="H286">
        <v>3</v>
      </c>
      <c r="I286">
        <v>8</v>
      </c>
      <c r="J286">
        <v>2004</v>
      </c>
      <c r="K286" t="s">
        <v>198</v>
      </c>
      <c r="L286">
        <v>71</v>
      </c>
      <c r="M286" t="s">
        <v>728</v>
      </c>
      <c r="N286" t="s">
        <v>190</v>
      </c>
      <c r="O286" t="s">
        <v>191</v>
      </c>
      <c r="P286" t="s">
        <v>192</v>
      </c>
      <c r="R286" t="s">
        <v>193</v>
      </c>
      <c r="T286">
        <v>28034</v>
      </c>
      <c r="U286" t="s">
        <v>194</v>
      </c>
      <c r="V286" t="s">
        <v>43</v>
      </c>
      <c r="W286" t="s">
        <v>195</v>
      </c>
      <c r="X286" t="s">
        <v>196</v>
      </c>
      <c r="Y286" t="s">
        <v>37</v>
      </c>
    </row>
    <row r="287" spans="1:25" x14ac:dyDescent="0.3">
      <c r="A287">
        <v>10158</v>
      </c>
      <c r="B287">
        <v>22</v>
      </c>
      <c r="C287">
        <v>67.03</v>
      </c>
      <c r="D287">
        <v>1</v>
      </c>
      <c r="E287">
        <v>1474.66</v>
      </c>
      <c r="F287" s="1">
        <v>37904</v>
      </c>
      <c r="G287" t="s">
        <v>26</v>
      </c>
      <c r="H287">
        <v>4</v>
      </c>
      <c r="I287">
        <v>10</v>
      </c>
      <c r="J287">
        <v>2003</v>
      </c>
      <c r="K287" t="s">
        <v>27</v>
      </c>
      <c r="L287">
        <v>76</v>
      </c>
      <c r="M287" t="s">
        <v>729</v>
      </c>
      <c r="N287" t="s">
        <v>145</v>
      </c>
      <c r="O287" t="s">
        <v>146</v>
      </c>
      <c r="P287" t="s">
        <v>147</v>
      </c>
      <c r="R287" t="s">
        <v>148</v>
      </c>
      <c r="T287">
        <v>4110</v>
      </c>
      <c r="U287" t="s">
        <v>82</v>
      </c>
      <c r="V287" t="s">
        <v>43</v>
      </c>
      <c r="W287" t="s">
        <v>149</v>
      </c>
      <c r="X287" t="s">
        <v>150</v>
      </c>
      <c r="Y287" t="s">
        <v>37</v>
      </c>
    </row>
    <row r="288" spans="1:25" x14ac:dyDescent="0.3">
      <c r="A288">
        <v>10340</v>
      </c>
      <c r="B288">
        <v>55</v>
      </c>
      <c r="C288">
        <v>79.98</v>
      </c>
      <c r="D288">
        <v>8</v>
      </c>
      <c r="E288">
        <v>4398.8999999999996</v>
      </c>
      <c r="F288" t="s">
        <v>157</v>
      </c>
      <c r="G288" t="s">
        <v>26</v>
      </c>
      <c r="H288">
        <v>4</v>
      </c>
      <c r="I288">
        <v>11</v>
      </c>
      <c r="J288">
        <v>2004</v>
      </c>
      <c r="K288" t="s">
        <v>27</v>
      </c>
      <c r="L288">
        <v>76</v>
      </c>
      <c r="M288" t="s">
        <v>729</v>
      </c>
      <c r="N288" t="s">
        <v>393</v>
      </c>
      <c r="O288" t="s">
        <v>394</v>
      </c>
      <c r="P288" t="s">
        <v>395</v>
      </c>
      <c r="R288" t="s">
        <v>396</v>
      </c>
      <c r="T288">
        <v>8022</v>
      </c>
      <c r="U288" t="s">
        <v>194</v>
      </c>
      <c r="V288" t="s">
        <v>43</v>
      </c>
      <c r="W288" t="s">
        <v>397</v>
      </c>
      <c r="X288" t="s">
        <v>398</v>
      </c>
      <c r="Y288" t="s">
        <v>52</v>
      </c>
    </row>
    <row r="289" spans="1:25" x14ac:dyDescent="0.3">
      <c r="A289">
        <v>10345</v>
      </c>
      <c r="B289">
        <v>43</v>
      </c>
      <c r="C289">
        <v>53.76</v>
      </c>
      <c r="D289">
        <v>1</v>
      </c>
      <c r="E289">
        <v>2311.6799999999998</v>
      </c>
      <c r="F289" t="s">
        <v>685</v>
      </c>
      <c r="G289" t="s">
        <v>26</v>
      </c>
      <c r="H289">
        <v>4</v>
      </c>
      <c r="I289">
        <v>11</v>
      </c>
      <c r="J289">
        <v>2004</v>
      </c>
      <c r="K289" t="s">
        <v>630</v>
      </c>
      <c r="L289">
        <v>44</v>
      </c>
      <c r="M289" t="s">
        <v>730</v>
      </c>
      <c r="N289" t="s">
        <v>348</v>
      </c>
      <c r="O289" t="s">
        <v>349</v>
      </c>
      <c r="P289" t="s">
        <v>350</v>
      </c>
      <c r="R289" t="s">
        <v>126</v>
      </c>
      <c r="T289">
        <v>44000</v>
      </c>
      <c r="U289" t="s">
        <v>42</v>
      </c>
      <c r="V289" t="s">
        <v>43</v>
      </c>
      <c r="W289" t="s">
        <v>351</v>
      </c>
      <c r="X289" t="s">
        <v>352</v>
      </c>
      <c r="Y289" t="s">
        <v>37</v>
      </c>
    </row>
    <row r="290" spans="1:25" x14ac:dyDescent="0.3">
      <c r="A290">
        <v>10190</v>
      </c>
      <c r="B290">
        <v>42</v>
      </c>
      <c r="C290">
        <v>76.19</v>
      </c>
      <c r="D290">
        <v>3</v>
      </c>
      <c r="E290">
        <v>3199.98</v>
      </c>
      <c r="F290" t="s">
        <v>731</v>
      </c>
      <c r="G290" t="s">
        <v>26</v>
      </c>
      <c r="H290">
        <v>4</v>
      </c>
      <c r="I290">
        <v>11</v>
      </c>
      <c r="J290">
        <v>2003</v>
      </c>
      <c r="K290" t="s">
        <v>27</v>
      </c>
      <c r="L290">
        <v>69</v>
      </c>
      <c r="M290" t="s">
        <v>732</v>
      </c>
      <c r="N290" t="s">
        <v>190</v>
      </c>
      <c r="O290" t="s">
        <v>191</v>
      </c>
      <c r="P290" t="s">
        <v>192</v>
      </c>
      <c r="R290" t="s">
        <v>193</v>
      </c>
      <c r="T290">
        <v>28034</v>
      </c>
      <c r="U290" t="s">
        <v>194</v>
      </c>
      <c r="V290" t="s">
        <v>43</v>
      </c>
      <c r="W290" t="s">
        <v>195</v>
      </c>
      <c r="X290" t="s">
        <v>196</v>
      </c>
      <c r="Y290" t="s">
        <v>52</v>
      </c>
    </row>
    <row r="291" spans="1:25" x14ac:dyDescent="0.3">
      <c r="A291">
        <v>10368</v>
      </c>
      <c r="B291">
        <v>40</v>
      </c>
      <c r="C291">
        <v>100</v>
      </c>
      <c r="D291">
        <v>2</v>
      </c>
      <c r="E291">
        <v>4107.2</v>
      </c>
      <c r="F291" t="s">
        <v>733</v>
      </c>
      <c r="G291" t="s">
        <v>26</v>
      </c>
      <c r="H291">
        <v>1</v>
      </c>
      <c r="I291">
        <v>1</v>
      </c>
      <c r="J291">
        <v>2005</v>
      </c>
      <c r="K291" t="s">
        <v>198</v>
      </c>
      <c r="L291">
        <v>90</v>
      </c>
      <c r="M291" t="s">
        <v>734</v>
      </c>
      <c r="N291" t="s">
        <v>301</v>
      </c>
      <c r="O291">
        <v>4155551450</v>
      </c>
      <c r="P291" t="s">
        <v>302</v>
      </c>
      <c r="R291" t="s">
        <v>303</v>
      </c>
      <c r="S291" t="s">
        <v>57</v>
      </c>
      <c r="T291">
        <v>97562</v>
      </c>
      <c r="U291" t="s">
        <v>33</v>
      </c>
      <c r="V291" t="s">
        <v>34</v>
      </c>
      <c r="W291" t="s">
        <v>304</v>
      </c>
      <c r="X291" t="s">
        <v>305</v>
      </c>
      <c r="Y291" t="s">
        <v>52</v>
      </c>
    </row>
    <row r="292" spans="1:25" x14ac:dyDescent="0.3">
      <c r="A292">
        <v>10335</v>
      </c>
      <c r="B292">
        <v>33</v>
      </c>
      <c r="C292">
        <v>37.130000000000003</v>
      </c>
      <c r="D292">
        <v>2</v>
      </c>
      <c r="E292">
        <v>1225.29</v>
      </c>
      <c r="F292" t="s">
        <v>479</v>
      </c>
      <c r="G292" t="s">
        <v>26</v>
      </c>
      <c r="H292">
        <v>4</v>
      </c>
      <c r="I292">
        <v>11</v>
      </c>
      <c r="J292">
        <v>2004</v>
      </c>
      <c r="K292" t="s">
        <v>198</v>
      </c>
      <c r="L292">
        <v>35</v>
      </c>
      <c r="M292" t="s">
        <v>735</v>
      </c>
      <c r="N292" t="s">
        <v>301</v>
      </c>
      <c r="O292">
        <v>4155551450</v>
      </c>
      <c r="P292" t="s">
        <v>302</v>
      </c>
      <c r="R292" t="s">
        <v>303</v>
      </c>
      <c r="S292" t="s">
        <v>57</v>
      </c>
      <c r="T292">
        <v>97562</v>
      </c>
      <c r="U292" t="s">
        <v>33</v>
      </c>
      <c r="V292" t="s">
        <v>34</v>
      </c>
      <c r="W292" t="s">
        <v>304</v>
      </c>
      <c r="X292" t="s">
        <v>305</v>
      </c>
      <c r="Y292" t="s">
        <v>37</v>
      </c>
    </row>
    <row r="293" spans="1:25" x14ac:dyDescent="0.3">
      <c r="A293">
        <v>10154</v>
      </c>
      <c r="B293">
        <v>31</v>
      </c>
      <c r="C293">
        <v>91.17</v>
      </c>
      <c r="D293">
        <v>2</v>
      </c>
      <c r="E293">
        <v>2826.27</v>
      </c>
      <c r="F293" s="1">
        <v>37662</v>
      </c>
      <c r="G293" t="s">
        <v>26</v>
      </c>
      <c r="H293">
        <v>4</v>
      </c>
      <c r="I293">
        <v>10</v>
      </c>
      <c r="J293">
        <v>2003</v>
      </c>
      <c r="K293" t="s">
        <v>630</v>
      </c>
      <c r="L293">
        <v>88</v>
      </c>
      <c r="M293" t="s">
        <v>736</v>
      </c>
      <c r="N293" t="s">
        <v>588</v>
      </c>
      <c r="O293">
        <v>3105552373</v>
      </c>
      <c r="P293" t="s">
        <v>589</v>
      </c>
      <c r="R293" t="s">
        <v>590</v>
      </c>
      <c r="S293" t="s">
        <v>57</v>
      </c>
      <c r="T293">
        <v>92561</v>
      </c>
      <c r="U293" t="s">
        <v>33</v>
      </c>
      <c r="V293" t="s">
        <v>34</v>
      </c>
      <c r="W293" t="s">
        <v>58</v>
      </c>
      <c r="X293" t="s">
        <v>270</v>
      </c>
      <c r="Y293" t="s">
        <v>37</v>
      </c>
    </row>
    <row r="294" spans="1:25" x14ac:dyDescent="0.3">
      <c r="A294">
        <v>10233</v>
      </c>
      <c r="B294">
        <v>40</v>
      </c>
      <c r="C294">
        <v>94.71</v>
      </c>
      <c r="D294">
        <v>2</v>
      </c>
      <c r="E294">
        <v>3788.4</v>
      </c>
      <c r="F294" t="s">
        <v>737</v>
      </c>
      <c r="G294" t="s">
        <v>26</v>
      </c>
      <c r="H294">
        <v>1</v>
      </c>
      <c r="I294">
        <v>3</v>
      </c>
      <c r="J294">
        <v>2004</v>
      </c>
      <c r="K294" t="s">
        <v>630</v>
      </c>
      <c r="L294">
        <v>88</v>
      </c>
      <c r="M294" t="s">
        <v>736</v>
      </c>
      <c r="N294" t="s">
        <v>111</v>
      </c>
      <c r="O294">
        <v>2015559350</v>
      </c>
      <c r="P294" t="s">
        <v>112</v>
      </c>
      <c r="R294" t="s">
        <v>113</v>
      </c>
      <c r="S294" t="s">
        <v>114</v>
      </c>
      <c r="T294">
        <v>94019</v>
      </c>
      <c r="U294" t="s">
        <v>33</v>
      </c>
      <c r="V294" t="s">
        <v>34</v>
      </c>
      <c r="W294" t="s">
        <v>63</v>
      </c>
      <c r="X294" t="s">
        <v>115</v>
      </c>
      <c r="Y294" t="s">
        <v>52</v>
      </c>
    </row>
    <row r="295" spans="1:25" x14ac:dyDescent="0.3">
      <c r="A295">
        <v>10385</v>
      </c>
      <c r="B295">
        <v>37</v>
      </c>
      <c r="C295">
        <v>85.54</v>
      </c>
      <c r="D295">
        <v>2</v>
      </c>
      <c r="E295">
        <v>3164.98</v>
      </c>
      <c r="F295" t="s">
        <v>738</v>
      </c>
      <c r="G295" t="s">
        <v>26</v>
      </c>
      <c r="H295">
        <v>1</v>
      </c>
      <c r="I295">
        <v>2</v>
      </c>
      <c r="J295">
        <v>2005</v>
      </c>
      <c r="K295" t="s">
        <v>630</v>
      </c>
      <c r="L295">
        <v>83</v>
      </c>
      <c r="M295" t="s">
        <v>739</v>
      </c>
      <c r="N295" t="s">
        <v>301</v>
      </c>
      <c r="O295">
        <v>4155551450</v>
      </c>
      <c r="P295" t="s">
        <v>302</v>
      </c>
      <c r="R295" t="s">
        <v>303</v>
      </c>
      <c r="S295" t="s">
        <v>57</v>
      </c>
      <c r="T295">
        <v>97562</v>
      </c>
      <c r="U295" t="s">
        <v>33</v>
      </c>
      <c r="V295" t="s">
        <v>34</v>
      </c>
      <c r="W295" t="s">
        <v>304</v>
      </c>
      <c r="X295" t="s">
        <v>305</v>
      </c>
      <c r="Y295" t="s">
        <v>52</v>
      </c>
    </row>
    <row r="296" spans="1:25" x14ac:dyDescent="0.3">
      <c r="A296">
        <v>10242</v>
      </c>
      <c r="B296">
        <v>46</v>
      </c>
      <c r="C296">
        <v>36.93</v>
      </c>
      <c r="D296">
        <v>1</v>
      </c>
      <c r="E296">
        <v>1698.78</v>
      </c>
      <c r="F296" t="s">
        <v>740</v>
      </c>
      <c r="G296" t="s">
        <v>26</v>
      </c>
      <c r="H296">
        <v>2</v>
      </c>
      <c r="I296">
        <v>4</v>
      </c>
      <c r="J296">
        <v>2004</v>
      </c>
      <c r="K296" t="s">
        <v>630</v>
      </c>
      <c r="L296">
        <v>41</v>
      </c>
      <c r="M296" t="s">
        <v>741</v>
      </c>
      <c r="N296" t="s">
        <v>577</v>
      </c>
      <c r="O296">
        <v>2125551957</v>
      </c>
      <c r="P296" t="s">
        <v>578</v>
      </c>
      <c r="Q296" t="s">
        <v>579</v>
      </c>
      <c r="R296" t="s">
        <v>31</v>
      </c>
      <c r="S296" t="s">
        <v>32</v>
      </c>
      <c r="T296">
        <v>10022</v>
      </c>
      <c r="U296" t="s">
        <v>33</v>
      </c>
      <c r="V296" t="s">
        <v>34</v>
      </c>
      <c r="W296" t="s">
        <v>580</v>
      </c>
      <c r="X296" t="s">
        <v>581</v>
      </c>
      <c r="Y296" t="s">
        <v>37</v>
      </c>
    </row>
    <row r="297" spans="1:25" x14ac:dyDescent="0.3">
      <c r="A297">
        <v>10408</v>
      </c>
      <c r="B297">
        <v>15</v>
      </c>
      <c r="C297">
        <v>36.93</v>
      </c>
      <c r="D297">
        <v>1</v>
      </c>
      <c r="E297">
        <v>553.95000000000005</v>
      </c>
      <c r="F297" t="s">
        <v>656</v>
      </c>
      <c r="G297" t="s">
        <v>26</v>
      </c>
      <c r="H297">
        <v>2</v>
      </c>
      <c r="I297">
        <v>4</v>
      </c>
      <c r="J297">
        <v>2005</v>
      </c>
      <c r="K297" t="s">
        <v>630</v>
      </c>
      <c r="L297">
        <v>41</v>
      </c>
      <c r="M297" t="s">
        <v>741</v>
      </c>
      <c r="N297" t="s">
        <v>272</v>
      </c>
      <c r="O297" t="s">
        <v>273</v>
      </c>
      <c r="P297" t="s">
        <v>274</v>
      </c>
      <c r="R297" t="s">
        <v>275</v>
      </c>
      <c r="S297" t="s">
        <v>276</v>
      </c>
      <c r="T297" t="s">
        <v>277</v>
      </c>
      <c r="U297" t="s">
        <v>221</v>
      </c>
      <c r="V297" t="s">
        <v>221</v>
      </c>
      <c r="W297" t="s">
        <v>278</v>
      </c>
      <c r="X297" t="s">
        <v>279</v>
      </c>
      <c r="Y297" t="s">
        <v>37</v>
      </c>
    </row>
    <row r="298" spans="1:25" x14ac:dyDescent="0.3">
      <c r="A298">
        <v>10317</v>
      </c>
      <c r="B298">
        <v>35</v>
      </c>
      <c r="C298">
        <v>83.32</v>
      </c>
      <c r="D298">
        <v>1</v>
      </c>
      <c r="E298">
        <v>2916.2</v>
      </c>
      <c r="F298" s="1">
        <v>38028</v>
      </c>
      <c r="G298" t="s">
        <v>26</v>
      </c>
      <c r="H298">
        <v>4</v>
      </c>
      <c r="I298">
        <v>11</v>
      </c>
      <c r="J298">
        <v>2004</v>
      </c>
      <c r="K298" t="s">
        <v>658</v>
      </c>
      <c r="L298">
        <v>72</v>
      </c>
      <c r="M298" t="s">
        <v>742</v>
      </c>
      <c r="N298" t="s">
        <v>65</v>
      </c>
      <c r="O298">
        <v>6505556809</v>
      </c>
      <c r="P298" t="s">
        <v>66</v>
      </c>
      <c r="R298" t="s">
        <v>67</v>
      </c>
      <c r="S298" t="s">
        <v>57</v>
      </c>
      <c r="T298">
        <v>94217</v>
      </c>
      <c r="U298" t="s">
        <v>33</v>
      </c>
      <c r="V298" t="s">
        <v>34</v>
      </c>
      <c r="W298" t="s">
        <v>68</v>
      </c>
      <c r="X298" t="s">
        <v>69</v>
      </c>
      <c r="Y298" t="s">
        <v>37</v>
      </c>
    </row>
    <row r="299" spans="1:25" x14ac:dyDescent="0.3">
      <c r="A299">
        <v>10387</v>
      </c>
      <c r="B299">
        <v>44</v>
      </c>
      <c r="C299">
        <v>94.9</v>
      </c>
      <c r="D299">
        <v>1</v>
      </c>
      <c r="E299">
        <v>4175.6000000000004</v>
      </c>
      <c r="F299" s="1">
        <v>38386</v>
      </c>
      <c r="G299" t="s">
        <v>26</v>
      </c>
      <c r="H299">
        <v>1</v>
      </c>
      <c r="I299">
        <v>3</v>
      </c>
      <c r="J299">
        <v>2005</v>
      </c>
      <c r="K299" t="s">
        <v>27</v>
      </c>
      <c r="L299">
        <v>99</v>
      </c>
      <c r="M299" t="s">
        <v>743</v>
      </c>
      <c r="N299" t="s">
        <v>217</v>
      </c>
      <c r="O299" t="s">
        <v>218</v>
      </c>
      <c r="P299" t="s">
        <v>219</v>
      </c>
      <c r="R299" t="s">
        <v>220</v>
      </c>
      <c r="T299">
        <v>79903</v>
      </c>
      <c r="U299" t="s">
        <v>220</v>
      </c>
      <c r="V299" t="s">
        <v>221</v>
      </c>
      <c r="W299" t="s">
        <v>222</v>
      </c>
      <c r="X299" t="s">
        <v>223</v>
      </c>
      <c r="Y299" t="s">
        <v>52</v>
      </c>
    </row>
    <row r="300" spans="1:25" x14ac:dyDescent="0.3">
      <c r="A300">
        <v>10364</v>
      </c>
      <c r="B300">
        <v>48</v>
      </c>
      <c r="C300">
        <v>48.28</v>
      </c>
      <c r="D300">
        <v>1</v>
      </c>
      <c r="E300">
        <v>2317.44</v>
      </c>
      <c r="F300" s="1">
        <v>38504</v>
      </c>
      <c r="G300" t="s">
        <v>26</v>
      </c>
      <c r="H300">
        <v>1</v>
      </c>
      <c r="I300">
        <v>1</v>
      </c>
      <c r="J300">
        <v>2005</v>
      </c>
      <c r="K300" t="s">
        <v>27</v>
      </c>
      <c r="L300">
        <v>40</v>
      </c>
      <c r="M300" t="s">
        <v>744</v>
      </c>
      <c r="N300" t="s">
        <v>489</v>
      </c>
      <c r="O300" t="s">
        <v>490</v>
      </c>
      <c r="P300" t="s">
        <v>491</v>
      </c>
      <c r="R300" t="s">
        <v>492</v>
      </c>
      <c r="T300">
        <v>13008</v>
      </c>
      <c r="U300" t="s">
        <v>42</v>
      </c>
      <c r="V300" t="s">
        <v>43</v>
      </c>
      <c r="W300" t="s">
        <v>493</v>
      </c>
      <c r="X300" t="s">
        <v>494</v>
      </c>
      <c r="Y300" t="s">
        <v>37</v>
      </c>
    </row>
    <row r="301" spans="1:25" x14ac:dyDescent="0.3">
      <c r="A301">
        <v>10116</v>
      </c>
      <c r="B301">
        <v>27</v>
      </c>
      <c r="C301">
        <v>63.38</v>
      </c>
      <c r="D301">
        <v>1</v>
      </c>
      <c r="E301">
        <v>1711.26</v>
      </c>
      <c r="F301" s="1">
        <v>37929</v>
      </c>
      <c r="G301" t="s">
        <v>26</v>
      </c>
      <c r="H301">
        <v>2</v>
      </c>
      <c r="I301">
        <v>4</v>
      </c>
      <c r="J301">
        <v>2003</v>
      </c>
      <c r="K301" t="s">
        <v>711</v>
      </c>
      <c r="L301">
        <v>62</v>
      </c>
      <c r="M301" t="s">
        <v>745</v>
      </c>
      <c r="N301" t="s">
        <v>675</v>
      </c>
      <c r="O301" t="s">
        <v>676</v>
      </c>
      <c r="P301" t="s">
        <v>677</v>
      </c>
      <c r="R301" t="s">
        <v>678</v>
      </c>
      <c r="T301" t="s">
        <v>679</v>
      </c>
      <c r="U301" t="s">
        <v>414</v>
      </c>
      <c r="V301" t="s">
        <v>43</v>
      </c>
      <c r="W301" t="s">
        <v>680</v>
      </c>
      <c r="X301" t="s">
        <v>681</v>
      </c>
      <c r="Y301" t="s">
        <v>37</v>
      </c>
    </row>
    <row r="302" spans="1:25" x14ac:dyDescent="0.3">
      <c r="A302">
        <v>10144</v>
      </c>
      <c r="B302">
        <v>20</v>
      </c>
      <c r="C302">
        <v>81.86</v>
      </c>
      <c r="D302">
        <v>1</v>
      </c>
      <c r="E302">
        <v>1637.2</v>
      </c>
      <c r="F302" t="s">
        <v>746</v>
      </c>
      <c r="G302" t="s">
        <v>26</v>
      </c>
      <c r="H302">
        <v>3</v>
      </c>
      <c r="I302">
        <v>8</v>
      </c>
      <c r="J302">
        <v>2003</v>
      </c>
      <c r="K302" t="s">
        <v>630</v>
      </c>
      <c r="L302">
        <v>68</v>
      </c>
      <c r="M302" t="s">
        <v>747</v>
      </c>
      <c r="N302" t="s">
        <v>675</v>
      </c>
      <c r="O302" t="s">
        <v>676</v>
      </c>
      <c r="P302" t="s">
        <v>677</v>
      </c>
      <c r="R302" t="s">
        <v>678</v>
      </c>
      <c r="T302" t="s">
        <v>679</v>
      </c>
      <c r="U302" t="s">
        <v>414</v>
      </c>
      <c r="V302" t="s">
        <v>43</v>
      </c>
      <c r="W302" t="s">
        <v>680</v>
      </c>
      <c r="X302" t="s">
        <v>681</v>
      </c>
      <c r="Y302" t="s">
        <v>37</v>
      </c>
    </row>
    <row r="303" spans="1:25" x14ac:dyDescent="0.3">
      <c r="A303">
        <v>10156</v>
      </c>
      <c r="B303">
        <v>20</v>
      </c>
      <c r="C303">
        <v>41.02</v>
      </c>
      <c r="D303">
        <v>1</v>
      </c>
      <c r="E303">
        <v>820.4</v>
      </c>
      <c r="F303" s="1">
        <v>37843</v>
      </c>
      <c r="G303" t="s">
        <v>26</v>
      </c>
      <c r="H303">
        <v>4</v>
      </c>
      <c r="I303">
        <v>10</v>
      </c>
      <c r="J303">
        <v>2003</v>
      </c>
      <c r="K303" t="s">
        <v>630</v>
      </c>
      <c r="L303">
        <v>43</v>
      </c>
      <c r="M303" t="s">
        <v>748</v>
      </c>
      <c r="N303" t="s">
        <v>190</v>
      </c>
      <c r="O303" t="s">
        <v>191</v>
      </c>
      <c r="P303" t="s">
        <v>192</v>
      </c>
      <c r="R303" t="s">
        <v>193</v>
      </c>
      <c r="T303">
        <v>28034</v>
      </c>
      <c r="U303" t="s">
        <v>194</v>
      </c>
      <c r="V303" t="s">
        <v>43</v>
      </c>
      <c r="W303" t="s">
        <v>195</v>
      </c>
      <c r="X303" t="s">
        <v>196</v>
      </c>
      <c r="Y303" t="s">
        <v>37</v>
      </c>
    </row>
    <row r="304" spans="1:25" x14ac:dyDescent="0.3">
      <c r="A304">
        <v>10199</v>
      </c>
      <c r="B304">
        <v>29</v>
      </c>
      <c r="C304">
        <v>38.4</v>
      </c>
      <c r="D304">
        <v>1</v>
      </c>
      <c r="E304">
        <v>1113.5999999999999</v>
      </c>
      <c r="F304" s="1">
        <v>37633</v>
      </c>
      <c r="G304" t="s">
        <v>26</v>
      </c>
      <c r="H304">
        <v>4</v>
      </c>
      <c r="I304">
        <v>12</v>
      </c>
      <c r="J304">
        <v>2003</v>
      </c>
      <c r="K304" t="s">
        <v>630</v>
      </c>
      <c r="L304">
        <v>43</v>
      </c>
      <c r="M304" t="s">
        <v>748</v>
      </c>
      <c r="N304" t="s">
        <v>259</v>
      </c>
      <c r="O304">
        <v>3105553722</v>
      </c>
      <c r="P304" t="s">
        <v>260</v>
      </c>
      <c r="R304" t="s">
        <v>261</v>
      </c>
      <c r="S304" t="s">
        <v>57</v>
      </c>
      <c r="T304">
        <v>94019</v>
      </c>
      <c r="U304" t="s">
        <v>33</v>
      </c>
      <c r="V304" t="s">
        <v>34</v>
      </c>
      <c r="W304" t="s">
        <v>262</v>
      </c>
      <c r="X304" t="s">
        <v>263</v>
      </c>
      <c r="Y304" t="s">
        <v>37</v>
      </c>
    </row>
    <row r="305" spans="1:25" x14ac:dyDescent="0.3">
      <c r="A305">
        <v>10397</v>
      </c>
      <c r="B305">
        <v>32</v>
      </c>
      <c r="C305">
        <v>80.55</v>
      </c>
      <c r="D305">
        <v>5</v>
      </c>
      <c r="E305">
        <v>2577.6</v>
      </c>
      <c r="F305" t="s">
        <v>749</v>
      </c>
      <c r="G305" t="s">
        <v>26</v>
      </c>
      <c r="H305">
        <v>1</v>
      </c>
      <c r="I305">
        <v>3</v>
      </c>
      <c r="J305">
        <v>2005</v>
      </c>
      <c r="K305" t="s">
        <v>702</v>
      </c>
      <c r="L305">
        <v>86</v>
      </c>
      <c r="M305" t="s">
        <v>750</v>
      </c>
      <c r="N305" t="s">
        <v>379</v>
      </c>
      <c r="O305" t="s">
        <v>380</v>
      </c>
      <c r="P305" t="s">
        <v>381</v>
      </c>
      <c r="R305" t="s">
        <v>382</v>
      </c>
      <c r="T305">
        <v>31000</v>
      </c>
      <c r="U305" t="s">
        <v>42</v>
      </c>
      <c r="V305" t="s">
        <v>43</v>
      </c>
      <c r="W305" t="s">
        <v>383</v>
      </c>
      <c r="X305" t="s">
        <v>384</v>
      </c>
      <c r="Y305" t="s">
        <v>37</v>
      </c>
    </row>
    <row r="306" spans="1:25" x14ac:dyDescent="0.3">
      <c r="A306">
        <v>10352</v>
      </c>
      <c r="B306">
        <v>23</v>
      </c>
      <c r="C306">
        <v>100</v>
      </c>
      <c r="D306">
        <v>3</v>
      </c>
      <c r="E306">
        <v>2352.67</v>
      </c>
      <c r="F306" s="1">
        <v>38058</v>
      </c>
      <c r="G306" t="s">
        <v>26</v>
      </c>
      <c r="H306">
        <v>4</v>
      </c>
      <c r="I306">
        <v>12</v>
      </c>
      <c r="J306">
        <v>2004</v>
      </c>
      <c r="K306" t="s">
        <v>702</v>
      </c>
      <c r="L306">
        <v>90</v>
      </c>
      <c r="M306" t="s">
        <v>751</v>
      </c>
      <c r="N306" t="s">
        <v>704</v>
      </c>
      <c r="O306">
        <v>6175558428</v>
      </c>
      <c r="P306" t="s">
        <v>705</v>
      </c>
      <c r="R306" t="s">
        <v>315</v>
      </c>
      <c r="S306" t="s">
        <v>133</v>
      </c>
      <c r="T306">
        <v>58339</v>
      </c>
      <c r="U306" t="s">
        <v>33</v>
      </c>
      <c r="V306" t="s">
        <v>34</v>
      </c>
      <c r="W306" t="s">
        <v>605</v>
      </c>
      <c r="X306" t="s">
        <v>270</v>
      </c>
      <c r="Y306" t="s">
        <v>37</v>
      </c>
    </row>
    <row r="307" spans="1:25" x14ac:dyDescent="0.3">
      <c r="A307">
        <v>10118</v>
      </c>
      <c r="B307">
        <v>36</v>
      </c>
      <c r="C307">
        <v>100</v>
      </c>
      <c r="D307">
        <v>1</v>
      </c>
      <c r="E307">
        <v>4219.2</v>
      </c>
      <c r="F307" t="s">
        <v>752</v>
      </c>
      <c r="G307" t="s">
        <v>26</v>
      </c>
      <c r="H307">
        <v>2</v>
      </c>
      <c r="I307">
        <v>4</v>
      </c>
      <c r="J307">
        <v>2003</v>
      </c>
      <c r="K307" t="s">
        <v>702</v>
      </c>
      <c r="L307">
        <v>100</v>
      </c>
      <c r="M307" t="s">
        <v>753</v>
      </c>
      <c r="N307" t="s">
        <v>393</v>
      </c>
      <c r="O307" t="s">
        <v>394</v>
      </c>
      <c r="P307" t="s">
        <v>395</v>
      </c>
      <c r="R307" t="s">
        <v>396</v>
      </c>
      <c r="T307">
        <v>8022</v>
      </c>
      <c r="U307" t="s">
        <v>194</v>
      </c>
      <c r="V307" t="s">
        <v>43</v>
      </c>
      <c r="W307" t="s">
        <v>397</v>
      </c>
      <c r="X307" t="s">
        <v>398</v>
      </c>
      <c r="Y307" t="s">
        <v>52</v>
      </c>
    </row>
    <row r="308" spans="1:25" x14ac:dyDescent="0.3">
      <c r="A308">
        <v>10294</v>
      </c>
      <c r="B308">
        <v>45</v>
      </c>
      <c r="C308">
        <v>100</v>
      </c>
      <c r="D308">
        <v>1</v>
      </c>
      <c r="E308">
        <v>4692.6000000000004</v>
      </c>
      <c r="F308" s="1">
        <v>38269</v>
      </c>
      <c r="G308" t="s">
        <v>26</v>
      </c>
      <c r="H308">
        <v>3</v>
      </c>
      <c r="I308">
        <v>9</v>
      </c>
      <c r="J308">
        <v>2004</v>
      </c>
      <c r="K308" t="s">
        <v>702</v>
      </c>
      <c r="L308">
        <v>99</v>
      </c>
      <c r="M308" t="s">
        <v>754</v>
      </c>
      <c r="N308" t="s">
        <v>516</v>
      </c>
      <c r="O308">
        <v>6175557555</v>
      </c>
      <c r="P308" t="s">
        <v>517</v>
      </c>
      <c r="R308" t="s">
        <v>315</v>
      </c>
      <c r="S308" t="s">
        <v>133</v>
      </c>
      <c r="T308">
        <v>58339</v>
      </c>
      <c r="U308" t="s">
        <v>33</v>
      </c>
      <c r="V308" t="s">
        <v>34</v>
      </c>
      <c r="W308" t="s">
        <v>518</v>
      </c>
      <c r="X308" t="s">
        <v>519</v>
      </c>
      <c r="Y308"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F0178-DE3E-4514-A988-E36ACEFA143C}">
  <dimension ref="A1:Z308"/>
  <sheetViews>
    <sheetView topLeftCell="A283" workbookViewId="0">
      <selection activeCell="B7" sqref="B7"/>
    </sheetView>
  </sheetViews>
  <sheetFormatPr defaultRowHeight="14.4" x14ac:dyDescent="0.3"/>
  <cols>
    <col min="1" max="1" width="13.88671875" bestFit="1" customWidth="1"/>
    <col min="2" max="2" width="17.33203125" bestFit="1" customWidth="1"/>
    <col min="3" max="3" width="10.33203125" bestFit="1" customWidth="1"/>
    <col min="4" max="4" width="17.6640625" bestFit="1" customWidth="1"/>
    <col min="5" max="5" width="7.77734375" bestFit="1" customWidth="1"/>
    <col min="6" max="7" width="22.44140625" customWidth="1"/>
    <col min="8" max="8" width="9.21875" bestFit="1" customWidth="1"/>
    <col min="9" max="9" width="6.77734375" bestFit="1" customWidth="1"/>
    <col min="10" max="10" width="9.6640625" bestFit="1" customWidth="1"/>
    <col min="11" max="11" width="7.5546875" bestFit="1" customWidth="1"/>
    <col min="12" max="12" width="14.88671875" bestFit="1" customWidth="1"/>
    <col min="13" max="13" width="5.44140625" bestFit="1" customWidth="1"/>
    <col min="14" max="14" width="14.109375" bestFit="1" customWidth="1"/>
    <col min="15" max="15" width="29" bestFit="1" customWidth="1"/>
    <col min="16" max="16" width="15.33203125" bestFit="1" customWidth="1"/>
    <col min="17" max="17" width="37.6640625" bestFit="1" customWidth="1"/>
    <col min="18" max="18" width="13.21875" bestFit="1" customWidth="1"/>
    <col min="19" max="19" width="13" bestFit="1" customWidth="1"/>
    <col min="20" max="20" width="10.5546875" bestFit="1" customWidth="1"/>
    <col min="21" max="21" width="12.109375" bestFit="1" customWidth="1"/>
    <col min="22" max="22" width="10.109375" bestFit="1" customWidth="1"/>
    <col min="23" max="23" width="9.77734375" bestFit="1" customWidth="1"/>
    <col min="24" max="24" width="17.77734375" bestFit="1" customWidth="1"/>
    <col min="25" max="25" width="18.33203125" bestFit="1" customWidth="1"/>
    <col min="26" max="26" width="8.44140625" bestFit="1" customWidth="1"/>
  </cols>
  <sheetData>
    <row r="1" spans="1:26" s="3" customFormat="1" x14ac:dyDescent="0.3">
      <c r="A1" s="3" t="s">
        <v>0</v>
      </c>
      <c r="B1" s="3" t="s">
        <v>1</v>
      </c>
      <c r="C1" s="3" t="s">
        <v>2</v>
      </c>
      <c r="D1" s="3" t="s">
        <v>3</v>
      </c>
      <c r="E1" s="3" t="s">
        <v>4</v>
      </c>
      <c r="F1" s="3" t="s">
        <v>5</v>
      </c>
      <c r="G1" s="3" t="s">
        <v>756</v>
      </c>
      <c r="H1" s="3" t="s">
        <v>6</v>
      </c>
      <c r="I1" s="3" t="s">
        <v>7</v>
      </c>
      <c r="J1" s="3" t="s">
        <v>8</v>
      </c>
      <c r="K1" s="3" t="s">
        <v>9</v>
      </c>
      <c r="L1" s="3" t="s">
        <v>10</v>
      </c>
      <c r="M1" s="3" t="s">
        <v>11</v>
      </c>
      <c r="N1" s="3" t="s">
        <v>12</v>
      </c>
      <c r="O1" s="3" t="s">
        <v>13</v>
      </c>
      <c r="P1" s="3" t="s">
        <v>14</v>
      </c>
      <c r="Q1" s="3" t="s">
        <v>15</v>
      </c>
      <c r="R1" s="3" t="s">
        <v>16</v>
      </c>
      <c r="S1" s="3" t="s">
        <v>17</v>
      </c>
      <c r="T1" s="3" t="s">
        <v>18</v>
      </c>
      <c r="U1" s="3" t="s">
        <v>19</v>
      </c>
      <c r="V1" s="3" t="s">
        <v>20</v>
      </c>
      <c r="W1" s="3" t="s">
        <v>21</v>
      </c>
      <c r="X1" s="3" t="s">
        <v>22</v>
      </c>
      <c r="Y1" s="3" t="s">
        <v>23</v>
      </c>
      <c r="Z1" s="3" t="s">
        <v>24</v>
      </c>
    </row>
    <row r="2" spans="1:26" x14ac:dyDescent="0.3">
      <c r="A2">
        <v>10100</v>
      </c>
      <c r="B2">
        <v>30</v>
      </c>
      <c r="C2">
        <v>100</v>
      </c>
      <c r="D2">
        <v>3</v>
      </c>
      <c r="E2">
        <v>5151</v>
      </c>
      <c r="F2" s="2">
        <v>37627</v>
      </c>
      <c r="G2" s="2" t="str">
        <f t="shared" ref="G2:G65" si="0">TEXT(F2,"MMM")</f>
        <v>Jan</v>
      </c>
      <c r="H2" t="s">
        <v>26</v>
      </c>
      <c r="I2">
        <v>1</v>
      </c>
      <c r="J2">
        <v>1</v>
      </c>
      <c r="K2">
        <v>2003</v>
      </c>
      <c r="L2" t="s">
        <v>630</v>
      </c>
      <c r="M2">
        <v>170</v>
      </c>
      <c r="N2" t="s">
        <v>683</v>
      </c>
      <c r="O2" t="s">
        <v>306</v>
      </c>
      <c r="P2">
        <v>6035558647</v>
      </c>
      <c r="Q2" t="s">
        <v>307</v>
      </c>
      <c r="R2" t="s">
        <v>755</v>
      </c>
      <c r="S2" t="s">
        <v>308</v>
      </c>
      <c r="T2" t="s">
        <v>309</v>
      </c>
      <c r="U2">
        <v>62005</v>
      </c>
      <c r="V2" t="s">
        <v>33</v>
      </c>
      <c r="W2" t="s">
        <v>34</v>
      </c>
      <c r="X2" t="s">
        <v>58</v>
      </c>
      <c r="Y2" t="s">
        <v>305</v>
      </c>
      <c r="Z2" t="s">
        <v>52</v>
      </c>
    </row>
    <row r="3" spans="1:26" x14ac:dyDescent="0.3">
      <c r="A3">
        <v>10101</v>
      </c>
      <c r="B3">
        <v>25</v>
      </c>
      <c r="C3">
        <v>100</v>
      </c>
      <c r="D3">
        <v>4</v>
      </c>
      <c r="E3">
        <v>3782</v>
      </c>
      <c r="F3" s="2">
        <v>37630</v>
      </c>
      <c r="G3" s="2" t="str">
        <f t="shared" si="0"/>
        <v>Jan</v>
      </c>
      <c r="H3" t="s">
        <v>26</v>
      </c>
      <c r="I3">
        <v>1</v>
      </c>
      <c r="J3">
        <v>1</v>
      </c>
      <c r="K3">
        <v>2003</v>
      </c>
      <c r="L3" t="s">
        <v>630</v>
      </c>
      <c r="M3">
        <v>127</v>
      </c>
      <c r="N3" t="s">
        <v>691</v>
      </c>
      <c r="O3" t="s">
        <v>521</v>
      </c>
      <c r="P3" t="s">
        <v>522</v>
      </c>
      <c r="Q3" t="s">
        <v>523</v>
      </c>
      <c r="R3" t="s">
        <v>755</v>
      </c>
      <c r="S3" t="s">
        <v>524</v>
      </c>
      <c r="T3" t="s">
        <v>755</v>
      </c>
      <c r="U3">
        <v>60528</v>
      </c>
      <c r="V3" t="s">
        <v>500</v>
      </c>
      <c r="W3" t="s">
        <v>43</v>
      </c>
      <c r="X3" t="s">
        <v>525</v>
      </c>
      <c r="Y3" t="s">
        <v>466</v>
      </c>
      <c r="Z3" t="s">
        <v>52</v>
      </c>
    </row>
    <row r="4" spans="1:26" x14ac:dyDescent="0.3">
      <c r="A4">
        <v>10102</v>
      </c>
      <c r="B4">
        <v>39</v>
      </c>
      <c r="C4">
        <v>100</v>
      </c>
      <c r="D4">
        <v>2</v>
      </c>
      <c r="E4">
        <v>4808.3100000000004</v>
      </c>
      <c r="F4" s="2">
        <v>37631</v>
      </c>
      <c r="G4" s="2" t="str">
        <f t="shared" si="0"/>
        <v>Jan</v>
      </c>
      <c r="H4" t="s">
        <v>26</v>
      </c>
      <c r="I4">
        <v>1</v>
      </c>
      <c r="J4">
        <v>1</v>
      </c>
      <c r="K4">
        <v>2003</v>
      </c>
      <c r="L4" t="s">
        <v>630</v>
      </c>
      <c r="M4">
        <v>102</v>
      </c>
      <c r="N4" t="s">
        <v>631</v>
      </c>
      <c r="O4" t="s">
        <v>105</v>
      </c>
      <c r="P4">
        <v>2125551500</v>
      </c>
      <c r="Q4" t="s">
        <v>106</v>
      </c>
      <c r="R4" t="s">
        <v>107</v>
      </c>
      <c r="S4" t="s">
        <v>31</v>
      </c>
      <c r="T4" t="s">
        <v>32</v>
      </c>
      <c r="U4">
        <v>10022</v>
      </c>
      <c r="V4" t="s">
        <v>33</v>
      </c>
      <c r="W4" t="s">
        <v>34</v>
      </c>
      <c r="X4" t="s">
        <v>108</v>
      </c>
      <c r="Y4" t="s">
        <v>109</v>
      </c>
      <c r="Z4" t="s">
        <v>52</v>
      </c>
    </row>
    <row r="5" spans="1:26" x14ac:dyDescent="0.3">
      <c r="A5">
        <v>10103</v>
      </c>
      <c r="B5">
        <v>26</v>
      </c>
      <c r="C5">
        <v>100</v>
      </c>
      <c r="D5">
        <v>11</v>
      </c>
      <c r="E5">
        <v>5404.62</v>
      </c>
      <c r="F5" s="2">
        <v>37650</v>
      </c>
      <c r="G5" s="2" t="str">
        <f t="shared" si="0"/>
        <v>Jan</v>
      </c>
      <c r="H5" t="s">
        <v>26</v>
      </c>
      <c r="I5">
        <v>1</v>
      </c>
      <c r="J5">
        <v>1</v>
      </c>
      <c r="K5">
        <v>2003</v>
      </c>
      <c r="L5" t="s">
        <v>198</v>
      </c>
      <c r="M5">
        <v>214</v>
      </c>
      <c r="N5" t="s">
        <v>199</v>
      </c>
      <c r="O5" t="s">
        <v>145</v>
      </c>
      <c r="P5" t="s">
        <v>146</v>
      </c>
      <c r="Q5" t="s">
        <v>147</v>
      </c>
      <c r="R5" t="s">
        <v>755</v>
      </c>
      <c r="S5" t="s">
        <v>148</v>
      </c>
      <c r="T5" t="s">
        <v>755</v>
      </c>
      <c r="U5">
        <v>4110</v>
      </c>
      <c r="V5" t="s">
        <v>82</v>
      </c>
      <c r="W5" t="s">
        <v>43</v>
      </c>
      <c r="X5" t="s">
        <v>149</v>
      </c>
      <c r="Y5" t="s">
        <v>150</v>
      </c>
      <c r="Z5" t="s">
        <v>52</v>
      </c>
    </row>
    <row r="6" spans="1:26" x14ac:dyDescent="0.3">
      <c r="A6">
        <v>10104</v>
      </c>
      <c r="B6">
        <v>34</v>
      </c>
      <c r="C6">
        <v>100</v>
      </c>
      <c r="D6">
        <v>1</v>
      </c>
      <c r="E6">
        <v>5958.5</v>
      </c>
      <c r="F6" s="2">
        <v>37652</v>
      </c>
      <c r="G6" s="2" t="str">
        <f t="shared" si="0"/>
        <v>Jan</v>
      </c>
      <c r="H6" t="s">
        <v>26</v>
      </c>
      <c r="I6">
        <v>1</v>
      </c>
      <c r="J6">
        <v>1</v>
      </c>
      <c r="K6">
        <v>2003</v>
      </c>
      <c r="L6" t="s">
        <v>198</v>
      </c>
      <c r="M6">
        <v>151</v>
      </c>
      <c r="N6" t="s">
        <v>583</v>
      </c>
      <c r="O6" t="s">
        <v>190</v>
      </c>
      <c r="P6" t="s">
        <v>191</v>
      </c>
      <c r="Q6" t="s">
        <v>192</v>
      </c>
      <c r="R6" t="s">
        <v>755</v>
      </c>
      <c r="S6" t="s">
        <v>193</v>
      </c>
      <c r="T6" t="s">
        <v>755</v>
      </c>
      <c r="U6">
        <v>28034</v>
      </c>
      <c r="V6" t="s">
        <v>194</v>
      </c>
      <c r="W6" t="s">
        <v>43</v>
      </c>
      <c r="X6" t="s">
        <v>195</v>
      </c>
      <c r="Y6" t="s">
        <v>196</v>
      </c>
      <c r="Z6" t="s">
        <v>52</v>
      </c>
    </row>
    <row r="7" spans="1:26" x14ac:dyDescent="0.3">
      <c r="A7">
        <v>10105</v>
      </c>
      <c r="B7">
        <v>50</v>
      </c>
      <c r="C7">
        <v>100</v>
      </c>
      <c r="D7">
        <v>2</v>
      </c>
      <c r="E7">
        <v>7208</v>
      </c>
      <c r="F7" s="2">
        <v>37663</v>
      </c>
      <c r="G7" s="2" t="str">
        <f t="shared" si="0"/>
        <v>Feb</v>
      </c>
      <c r="H7" t="s">
        <v>26</v>
      </c>
      <c r="I7">
        <v>1</v>
      </c>
      <c r="J7">
        <v>2</v>
      </c>
      <c r="K7">
        <v>2003</v>
      </c>
      <c r="L7" t="s">
        <v>198</v>
      </c>
      <c r="M7">
        <v>136</v>
      </c>
      <c r="N7" t="s">
        <v>358</v>
      </c>
      <c r="O7" t="s">
        <v>359</v>
      </c>
      <c r="P7" t="s">
        <v>360</v>
      </c>
      <c r="Q7" t="s">
        <v>361</v>
      </c>
      <c r="R7" t="s">
        <v>755</v>
      </c>
      <c r="S7" t="s">
        <v>362</v>
      </c>
      <c r="T7" t="s">
        <v>755</v>
      </c>
      <c r="U7">
        <v>1734</v>
      </c>
      <c r="V7" t="s">
        <v>363</v>
      </c>
      <c r="W7" t="s">
        <v>43</v>
      </c>
      <c r="X7" t="s">
        <v>364</v>
      </c>
      <c r="Y7" t="s">
        <v>365</v>
      </c>
      <c r="Z7" t="s">
        <v>165</v>
      </c>
    </row>
    <row r="8" spans="1:26" x14ac:dyDescent="0.3">
      <c r="A8">
        <v>10106</v>
      </c>
      <c r="B8">
        <v>36</v>
      </c>
      <c r="C8">
        <v>100</v>
      </c>
      <c r="D8">
        <v>12</v>
      </c>
      <c r="E8">
        <v>5279.4</v>
      </c>
      <c r="F8" s="2">
        <v>37669</v>
      </c>
      <c r="G8" s="2" t="str">
        <f t="shared" si="0"/>
        <v>Feb</v>
      </c>
      <c r="H8" t="s">
        <v>26</v>
      </c>
      <c r="I8">
        <v>1</v>
      </c>
      <c r="J8">
        <v>2</v>
      </c>
      <c r="K8">
        <v>2003</v>
      </c>
      <c r="L8" t="s">
        <v>658</v>
      </c>
      <c r="M8">
        <v>157</v>
      </c>
      <c r="N8" t="s">
        <v>659</v>
      </c>
      <c r="O8" t="s">
        <v>636</v>
      </c>
      <c r="P8" t="s">
        <v>637</v>
      </c>
      <c r="Q8" t="s">
        <v>638</v>
      </c>
      <c r="R8" t="s">
        <v>755</v>
      </c>
      <c r="S8" t="s">
        <v>639</v>
      </c>
      <c r="T8" t="s">
        <v>755</v>
      </c>
      <c r="U8">
        <v>24100</v>
      </c>
      <c r="V8" t="s">
        <v>286</v>
      </c>
      <c r="W8" t="s">
        <v>43</v>
      </c>
      <c r="X8" t="s">
        <v>640</v>
      </c>
      <c r="Y8" t="s">
        <v>641</v>
      </c>
      <c r="Z8" t="s">
        <v>52</v>
      </c>
    </row>
    <row r="9" spans="1:26" x14ac:dyDescent="0.3">
      <c r="A9">
        <v>10107</v>
      </c>
      <c r="B9">
        <v>30</v>
      </c>
      <c r="C9">
        <v>95.7</v>
      </c>
      <c r="D9">
        <v>2</v>
      </c>
      <c r="E9">
        <v>2871</v>
      </c>
      <c r="F9" s="2">
        <v>37676</v>
      </c>
      <c r="G9" s="2" t="str">
        <f t="shared" si="0"/>
        <v>Feb</v>
      </c>
      <c r="H9" t="s">
        <v>26</v>
      </c>
      <c r="I9">
        <v>1</v>
      </c>
      <c r="J9">
        <v>2</v>
      </c>
      <c r="K9">
        <v>2003</v>
      </c>
      <c r="L9" t="s">
        <v>27</v>
      </c>
      <c r="M9">
        <v>95</v>
      </c>
      <c r="N9" t="s">
        <v>28</v>
      </c>
      <c r="O9" t="s">
        <v>29</v>
      </c>
      <c r="P9">
        <v>2125557818</v>
      </c>
      <c r="Q9" t="s">
        <v>30</v>
      </c>
      <c r="R9" t="s">
        <v>755</v>
      </c>
      <c r="S9" t="s">
        <v>31</v>
      </c>
      <c r="T9" t="s">
        <v>32</v>
      </c>
      <c r="U9">
        <v>10022</v>
      </c>
      <c r="V9" t="s">
        <v>33</v>
      </c>
      <c r="W9" t="s">
        <v>34</v>
      </c>
      <c r="X9" t="s">
        <v>35</v>
      </c>
      <c r="Y9" t="s">
        <v>36</v>
      </c>
      <c r="Z9" t="s">
        <v>37</v>
      </c>
    </row>
    <row r="10" spans="1:26" x14ac:dyDescent="0.3">
      <c r="A10">
        <v>10108</v>
      </c>
      <c r="B10">
        <v>33</v>
      </c>
      <c r="C10">
        <v>100</v>
      </c>
      <c r="D10">
        <v>6</v>
      </c>
      <c r="E10">
        <v>5265.15</v>
      </c>
      <c r="F10" s="2">
        <v>37683</v>
      </c>
      <c r="G10" s="2" t="str">
        <f t="shared" si="0"/>
        <v>Mar</v>
      </c>
      <c r="H10" t="s">
        <v>26</v>
      </c>
      <c r="I10">
        <v>1</v>
      </c>
      <c r="J10">
        <v>3</v>
      </c>
      <c r="K10">
        <v>2003</v>
      </c>
      <c r="L10" t="s">
        <v>198</v>
      </c>
      <c r="M10">
        <v>194</v>
      </c>
      <c r="N10" t="s">
        <v>480</v>
      </c>
      <c r="O10" t="s">
        <v>481</v>
      </c>
      <c r="P10" t="s">
        <v>482</v>
      </c>
      <c r="Q10" t="s">
        <v>483</v>
      </c>
      <c r="R10" t="s">
        <v>755</v>
      </c>
      <c r="S10" t="s">
        <v>484</v>
      </c>
      <c r="T10" t="s">
        <v>755</v>
      </c>
      <c r="U10" t="s">
        <v>485</v>
      </c>
      <c r="V10" t="s">
        <v>486</v>
      </c>
      <c r="W10" t="s">
        <v>221</v>
      </c>
      <c r="X10" t="s">
        <v>487</v>
      </c>
      <c r="Y10" t="s">
        <v>488</v>
      </c>
      <c r="Z10" t="s">
        <v>52</v>
      </c>
    </row>
    <row r="11" spans="1:26" x14ac:dyDescent="0.3">
      <c r="A11">
        <v>10109</v>
      </c>
      <c r="B11">
        <v>26</v>
      </c>
      <c r="C11">
        <v>100</v>
      </c>
      <c r="D11">
        <v>4</v>
      </c>
      <c r="E11">
        <v>4379.18</v>
      </c>
      <c r="F11" s="2">
        <v>37690</v>
      </c>
      <c r="G11" s="2" t="str">
        <f t="shared" si="0"/>
        <v>Mar</v>
      </c>
      <c r="H11" t="s">
        <v>26</v>
      </c>
      <c r="I11">
        <v>1</v>
      </c>
      <c r="J11">
        <v>3</v>
      </c>
      <c r="K11">
        <v>2003</v>
      </c>
      <c r="L11" t="s">
        <v>198</v>
      </c>
      <c r="M11">
        <v>141</v>
      </c>
      <c r="N11" t="s">
        <v>614</v>
      </c>
      <c r="O11" t="s">
        <v>344</v>
      </c>
      <c r="P11">
        <v>2155559857</v>
      </c>
      <c r="Q11" t="s">
        <v>345</v>
      </c>
      <c r="R11" t="s">
        <v>755</v>
      </c>
      <c r="S11" t="s">
        <v>239</v>
      </c>
      <c r="T11" t="s">
        <v>154</v>
      </c>
      <c r="U11">
        <v>71270</v>
      </c>
      <c r="V11" t="s">
        <v>33</v>
      </c>
      <c r="W11" t="s">
        <v>34</v>
      </c>
      <c r="X11" t="s">
        <v>134</v>
      </c>
      <c r="Y11" t="s">
        <v>346</v>
      </c>
      <c r="Z11" t="s">
        <v>52</v>
      </c>
    </row>
    <row r="12" spans="1:26" x14ac:dyDescent="0.3">
      <c r="A12">
        <v>10110</v>
      </c>
      <c r="B12">
        <v>37</v>
      </c>
      <c r="C12">
        <v>100</v>
      </c>
      <c r="D12">
        <v>16</v>
      </c>
      <c r="E12">
        <v>5433.08</v>
      </c>
      <c r="F12" s="2">
        <v>37698</v>
      </c>
      <c r="G12" s="2" t="str">
        <f t="shared" si="0"/>
        <v>Mar</v>
      </c>
      <c r="H12" t="s">
        <v>26</v>
      </c>
      <c r="I12">
        <v>1</v>
      </c>
      <c r="J12">
        <v>3</v>
      </c>
      <c r="K12">
        <v>2003</v>
      </c>
      <c r="L12" t="s">
        <v>198</v>
      </c>
      <c r="M12">
        <v>124</v>
      </c>
      <c r="N12" t="s">
        <v>653</v>
      </c>
      <c r="O12" t="s">
        <v>558</v>
      </c>
      <c r="P12" t="s">
        <v>559</v>
      </c>
      <c r="Q12" t="s">
        <v>560</v>
      </c>
      <c r="R12" t="s">
        <v>755</v>
      </c>
      <c r="S12" t="s">
        <v>561</v>
      </c>
      <c r="T12" t="s">
        <v>755</v>
      </c>
      <c r="U12" t="s">
        <v>562</v>
      </c>
      <c r="V12" t="s">
        <v>185</v>
      </c>
      <c r="W12" t="s">
        <v>43</v>
      </c>
      <c r="X12" t="s">
        <v>563</v>
      </c>
      <c r="Y12" t="s">
        <v>100</v>
      </c>
      <c r="Z12" t="s">
        <v>52</v>
      </c>
    </row>
    <row r="13" spans="1:26" x14ac:dyDescent="0.3">
      <c r="A13">
        <v>10111</v>
      </c>
      <c r="B13">
        <v>33</v>
      </c>
      <c r="C13">
        <v>99.66</v>
      </c>
      <c r="D13">
        <v>6</v>
      </c>
      <c r="E13">
        <v>3288.78</v>
      </c>
      <c r="F13" s="2">
        <v>37705</v>
      </c>
      <c r="G13" s="2" t="str">
        <f t="shared" si="0"/>
        <v>Mar</v>
      </c>
      <c r="H13" t="s">
        <v>26</v>
      </c>
      <c r="I13">
        <v>1</v>
      </c>
      <c r="J13">
        <v>3</v>
      </c>
      <c r="K13">
        <v>2003</v>
      </c>
      <c r="L13" t="s">
        <v>630</v>
      </c>
      <c r="M13">
        <v>102</v>
      </c>
      <c r="N13" t="s">
        <v>631</v>
      </c>
      <c r="O13" t="s">
        <v>85</v>
      </c>
      <c r="P13">
        <v>6505555787</v>
      </c>
      <c r="Q13" t="s">
        <v>86</v>
      </c>
      <c r="R13" t="s">
        <v>755</v>
      </c>
      <c r="S13" t="s">
        <v>62</v>
      </c>
      <c r="T13" t="s">
        <v>57</v>
      </c>
      <c r="U13" t="s">
        <v>755</v>
      </c>
      <c r="V13" t="s">
        <v>33</v>
      </c>
      <c r="W13" t="s">
        <v>34</v>
      </c>
      <c r="X13" t="s">
        <v>87</v>
      </c>
      <c r="Y13" t="s">
        <v>59</v>
      </c>
      <c r="Z13" t="s">
        <v>52</v>
      </c>
    </row>
    <row r="14" spans="1:26" x14ac:dyDescent="0.3">
      <c r="A14">
        <v>10112</v>
      </c>
      <c r="B14">
        <v>29</v>
      </c>
      <c r="C14">
        <v>100</v>
      </c>
      <c r="D14">
        <v>1</v>
      </c>
      <c r="E14">
        <v>7209.11</v>
      </c>
      <c r="F14" s="2">
        <v>37704</v>
      </c>
      <c r="G14" s="2" t="str">
        <f t="shared" si="0"/>
        <v>Mar</v>
      </c>
      <c r="H14" t="s">
        <v>26</v>
      </c>
      <c r="I14">
        <v>1</v>
      </c>
      <c r="J14">
        <v>3</v>
      </c>
      <c r="K14">
        <v>2003</v>
      </c>
      <c r="L14" t="s">
        <v>198</v>
      </c>
      <c r="M14">
        <v>214</v>
      </c>
      <c r="N14" t="s">
        <v>199</v>
      </c>
      <c r="O14" t="s">
        <v>201</v>
      </c>
      <c r="P14" t="s">
        <v>202</v>
      </c>
      <c r="Q14" t="s">
        <v>203</v>
      </c>
      <c r="R14" t="s">
        <v>755</v>
      </c>
      <c r="S14" t="s">
        <v>204</v>
      </c>
      <c r="T14" t="s">
        <v>755</v>
      </c>
      <c r="U14" t="s">
        <v>205</v>
      </c>
      <c r="V14" t="s">
        <v>206</v>
      </c>
      <c r="W14" t="s">
        <v>43</v>
      </c>
      <c r="X14" t="s">
        <v>207</v>
      </c>
      <c r="Y14" t="s">
        <v>208</v>
      </c>
      <c r="Z14" t="s">
        <v>165</v>
      </c>
    </row>
    <row r="15" spans="1:26" x14ac:dyDescent="0.3">
      <c r="A15">
        <v>10113</v>
      </c>
      <c r="B15">
        <v>21</v>
      </c>
      <c r="C15">
        <v>100</v>
      </c>
      <c r="D15">
        <v>2</v>
      </c>
      <c r="E15">
        <v>3415.44</v>
      </c>
      <c r="F15" s="2">
        <v>37706</v>
      </c>
      <c r="G15" s="2" t="str">
        <f t="shared" si="0"/>
        <v>Mar</v>
      </c>
      <c r="H15" t="s">
        <v>26</v>
      </c>
      <c r="I15">
        <v>1</v>
      </c>
      <c r="J15">
        <v>3</v>
      </c>
      <c r="K15">
        <v>2003</v>
      </c>
      <c r="L15" t="s">
        <v>573</v>
      </c>
      <c r="M15">
        <v>136</v>
      </c>
      <c r="N15" t="s">
        <v>574</v>
      </c>
      <c r="O15" t="s">
        <v>301</v>
      </c>
      <c r="P15">
        <v>4155551450</v>
      </c>
      <c r="Q15" t="s">
        <v>302</v>
      </c>
      <c r="R15" t="s">
        <v>755</v>
      </c>
      <c r="S15" t="s">
        <v>303</v>
      </c>
      <c r="T15" t="s">
        <v>57</v>
      </c>
      <c r="U15">
        <v>97562</v>
      </c>
      <c r="V15" t="s">
        <v>33</v>
      </c>
      <c r="W15" t="s">
        <v>34</v>
      </c>
      <c r="X15" t="s">
        <v>304</v>
      </c>
      <c r="Y15" t="s">
        <v>305</v>
      </c>
      <c r="Z15" t="s">
        <v>52</v>
      </c>
    </row>
    <row r="16" spans="1:26" x14ac:dyDescent="0.3">
      <c r="A16">
        <v>10114</v>
      </c>
      <c r="B16">
        <v>31</v>
      </c>
      <c r="C16">
        <v>100</v>
      </c>
      <c r="D16">
        <v>8</v>
      </c>
      <c r="E16">
        <v>4305.28</v>
      </c>
      <c r="F16" s="2">
        <v>37712</v>
      </c>
      <c r="G16" s="2" t="str">
        <f t="shared" si="0"/>
        <v>Apr</v>
      </c>
      <c r="H16" t="s">
        <v>26</v>
      </c>
      <c r="I16">
        <v>2</v>
      </c>
      <c r="J16">
        <v>4</v>
      </c>
      <c r="K16">
        <v>2003</v>
      </c>
      <c r="L16" t="s">
        <v>198</v>
      </c>
      <c r="M16">
        <v>147</v>
      </c>
      <c r="N16" t="s">
        <v>453</v>
      </c>
      <c r="O16" t="s">
        <v>454</v>
      </c>
      <c r="P16" t="s">
        <v>455</v>
      </c>
      <c r="Q16" t="s">
        <v>456</v>
      </c>
      <c r="R16" t="s">
        <v>755</v>
      </c>
      <c r="S16" t="s">
        <v>49</v>
      </c>
      <c r="T16" t="s">
        <v>755</v>
      </c>
      <c r="U16">
        <v>75012</v>
      </c>
      <c r="V16" t="s">
        <v>42</v>
      </c>
      <c r="W16" t="s">
        <v>43</v>
      </c>
      <c r="X16" t="s">
        <v>457</v>
      </c>
      <c r="Y16" t="s">
        <v>458</v>
      </c>
      <c r="Z16" t="s">
        <v>52</v>
      </c>
    </row>
    <row r="17" spans="1:26" x14ac:dyDescent="0.3">
      <c r="A17">
        <v>10115</v>
      </c>
      <c r="B17">
        <v>46</v>
      </c>
      <c r="C17">
        <v>100</v>
      </c>
      <c r="D17">
        <v>5</v>
      </c>
      <c r="E17">
        <v>5723.78</v>
      </c>
      <c r="F17" s="2">
        <v>37715</v>
      </c>
      <c r="G17" s="2" t="str">
        <f t="shared" si="0"/>
        <v>Apr</v>
      </c>
      <c r="H17" t="s">
        <v>26</v>
      </c>
      <c r="I17">
        <v>2</v>
      </c>
      <c r="J17">
        <v>4</v>
      </c>
      <c r="K17">
        <v>2003</v>
      </c>
      <c r="L17" t="s">
        <v>573</v>
      </c>
      <c r="M17">
        <v>118</v>
      </c>
      <c r="N17" t="s">
        <v>594</v>
      </c>
      <c r="O17" t="s">
        <v>225</v>
      </c>
      <c r="P17">
        <v>2125558493</v>
      </c>
      <c r="Q17" t="s">
        <v>226</v>
      </c>
      <c r="R17" t="s">
        <v>227</v>
      </c>
      <c r="S17" t="s">
        <v>31</v>
      </c>
      <c r="T17" t="s">
        <v>32</v>
      </c>
      <c r="U17">
        <v>10022</v>
      </c>
      <c r="V17" t="s">
        <v>33</v>
      </c>
      <c r="W17" t="s">
        <v>34</v>
      </c>
      <c r="X17" t="s">
        <v>134</v>
      </c>
      <c r="Y17" t="s">
        <v>228</v>
      </c>
      <c r="Z17" t="s">
        <v>52</v>
      </c>
    </row>
    <row r="18" spans="1:26" x14ac:dyDescent="0.3">
      <c r="A18">
        <v>10116</v>
      </c>
      <c r="B18">
        <v>27</v>
      </c>
      <c r="C18">
        <v>63.38</v>
      </c>
      <c r="D18">
        <v>1</v>
      </c>
      <c r="E18">
        <v>1711.26</v>
      </c>
      <c r="F18" s="2">
        <v>37722</v>
      </c>
      <c r="G18" s="2" t="str">
        <f t="shared" si="0"/>
        <v>Apr</v>
      </c>
      <c r="H18" t="s">
        <v>26</v>
      </c>
      <c r="I18">
        <v>2</v>
      </c>
      <c r="J18">
        <v>4</v>
      </c>
      <c r="K18">
        <v>2003</v>
      </c>
      <c r="L18" t="s">
        <v>711</v>
      </c>
      <c r="M18">
        <v>62</v>
      </c>
      <c r="N18" t="s">
        <v>745</v>
      </c>
      <c r="O18" t="s">
        <v>675</v>
      </c>
      <c r="P18" t="s">
        <v>676</v>
      </c>
      <c r="Q18" t="s">
        <v>677</v>
      </c>
      <c r="R18" t="s">
        <v>755</v>
      </c>
      <c r="S18" t="s">
        <v>678</v>
      </c>
      <c r="T18" t="s">
        <v>755</v>
      </c>
      <c r="U18" t="s">
        <v>679</v>
      </c>
      <c r="V18" t="s">
        <v>414</v>
      </c>
      <c r="W18" t="s">
        <v>43</v>
      </c>
      <c r="X18" t="s">
        <v>680</v>
      </c>
      <c r="Y18" t="s">
        <v>681</v>
      </c>
      <c r="Z18" t="s">
        <v>37</v>
      </c>
    </row>
    <row r="19" spans="1:26" x14ac:dyDescent="0.3">
      <c r="A19">
        <v>10117</v>
      </c>
      <c r="B19">
        <v>33</v>
      </c>
      <c r="C19">
        <v>100</v>
      </c>
      <c r="D19">
        <v>9</v>
      </c>
      <c r="E19">
        <v>6034.38</v>
      </c>
      <c r="F19" s="2">
        <v>37727</v>
      </c>
      <c r="G19" s="2" t="str">
        <f t="shared" si="0"/>
        <v>Apr</v>
      </c>
      <c r="H19" t="s">
        <v>26</v>
      </c>
      <c r="I19">
        <v>2</v>
      </c>
      <c r="J19">
        <v>4</v>
      </c>
      <c r="K19">
        <v>2003</v>
      </c>
      <c r="L19" t="s">
        <v>198</v>
      </c>
      <c r="M19">
        <v>207</v>
      </c>
      <c r="N19" t="s">
        <v>536</v>
      </c>
      <c r="O19" t="s">
        <v>217</v>
      </c>
      <c r="P19" t="s">
        <v>218</v>
      </c>
      <c r="Q19" t="s">
        <v>219</v>
      </c>
      <c r="R19" t="s">
        <v>755</v>
      </c>
      <c r="S19" t="s">
        <v>220</v>
      </c>
      <c r="T19" t="s">
        <v>755</v>
      </c>
      <c r="U19">
        <v>79903</v>
      </c>
      <c r="V19" t="s">
        <v>220</v>
      </c>
      <c r="W19" t="s">
        <v>221</v>
      </c>
      <c r="X19" t="s">
        <v>222</v>
      </c>
      <c r="Y19" t="s">
        <v>223</v>
      </c>
      <c r="Z19" t="s">
        <v>52</v>
      </c>
    </row>
    <row r="20" spans="1:26" x14ac:dyDescent="0.3">
      <c r="A20">
        <v>10118</v>
      </c>
      <c r="B20">
        <v>36</v>
      </c>
      <c r="C20">
        <v>100</v>
      </c>
      <c r="D20">
        <v>1</v>
      </c>
      <c r="E20">
        <v>4219.2</v>
      </c>
      <c r="F20" s="2">
        <v>37732</v>
      </c>
      <c r="G20" s="2" t="str">
        <f t="shared" si="0"/>
        <v>Apr</v>
      </c>
      <c r="H20" t="s">
        <v>26</v>
      </c>
      <c r="I20">
        <v>2</v>
      </c>
      <c r="J20">
        <v>4</v>
      </c>
      <c r="K20">
        <v>2003</v>
      </c>
      <c r="L20" t="s">
        <v>702</v>
      </c>
      <c r="M20">
        <v>100</v>
      </c>
      <c r="N20" t="s">
        <v>753</v>
      </c>
      <c r="O20" t="s">
        <v>393</v>
      </c>
      <c r="P20" t="s">
        <v>394</v>
      </c>
      <c r="Q20" t="s">
        <v>395</v>
      </c>
      <c r="R20" t="s">
        <v>755</v>
      </c>
      <c r="S20" t="s">
        <v>396</v>
      </c>
      <c r="T20" t="s">
        <v>755</v>
      </c>
      <c r="U20">
        <v>8022</v>
      </c>
      <c r="V20" t="s">
        <v>194</v>
      </c>
      <c r="W20" t="s">
        <v>43</v>
      </c>
      <c r="X20" t="s">
        <v>397</v>
      </c>
      <c r="Y20" t="s">
        <v>398</v>
      </c>
      <c r="Z20" t="s">
        <v>52</v>
      </c>
    </row>
    <row r="21" spans="1:26" x14ac:dyDescent="0.3">
      <c r="A21">
        <v>10119</v>
      </c>
      <c r="B21">
        <v>46</v>
      </c>
      <c r="C21">
        <v>100</v>
      </c>
      <c r="D21">
        <v>11</v>
      </c>
      <c r="E21">
        <v>5004.8</v>
      </c>
      <c r="F21" s="2">
        <v>37739</v>
      </c>
      <c r="G21" s="2" t="str">
        <f t="shared" si="0"/>
        <v>Apr</v>
      </c>
      <c r="H21" t="s">
        <v>26</v>
      </c>
      <c r="I21">
        <v>2</v>
      </c>
      <c r="J21">
        <v>4</v>
      </c>
      <c r="K21">
        <v>2003</v>
      </c>
      <c r="L21" t="s">
        <v>198</v>
      </c>
      <c r="M21">
        <v>136</v>
      </c>
      <c r="N21" t="s">
        <v>358</v>
      </c>
      <c r="O21" t="s">
        <v>158</v>
      </c>
      <c r="P21" t="s">
        <v>159</v>
      </c>
      <c r="Q21" t="s">
        <v>160</v>
      </c>
      <c r="R21" t="s">
        <v>755</v>
      </c>
      <c r="S21" t="s">
        <v>161</v>
      </c>
      <c r="T21" t="s">
        <v>755</v>
      </c>
      <c r="U21">
        <v>5020</v>
      </c>
      <c r="V21" t="s">
        <v>162</v>
      </c>
      <c r="W21" t="s">
        <v>43</v>
      </c>
      <c r="X21" t="s">
        <v>163</v>
      </c>
      <c r="Y21" t="s">
        <v>164</v>
      </c>
      <c r="Z21" t="s">
        <v>52</v>
      </c>
    </row>
    <row r="22" spans="1:26" x14ac:dyDescent="0.3">
      <c r="A22">
        <v>10120</v>
      </c>
      <c r="B22">
        <v>29</v>
      </c>
      <c r="C22">
        <v>96.34</v>
      </c>
      <c r="D22">
        <v>3</v>
      </c>
      <c r="E22">
        <v>2793.86</v>
      </c>
      <c r="F22" s="2">
        <v>37740</v>
      </c>
      <c r="G22" s="2" t="str">
        <f t="shared" si="0"/>
        <v>Apr</v>
      </c>
      <c r="H22" t="s">
        <v>26</v>
      </c>
      <c r="I22">
        <v>2</v>
      </c>
      <c r="J22">
        <v>4</v>
      </c>
      <c r="K22">
        <v>2003</v>
      </c>
      <c r="L22" t="s">
        <v>27</v>
      </c>
      <c r="M22">
        <v>118</v>
      </c>
      <c r="N22" t="s">
        <v>336</v>
      </c>
      <c r="O22" t="s">
        <v>95</v>
      </c>
      <c r="P22" t="s">
        <v>96</v>
      </c>
      <c r="Q22" t="s">
        <v>97</v>
      </c>
      <c r="R22" t="s">
        <v>98</v>
      </c>
      <c r="S22" t="s">
        <v>99</v>
      </c>
      <c r="T22" t="s">
        <v>100</v>
      </c>
      <c r="U22">
        <v>3004</v>
      </c>
      <c r="V22" t="s">
        <v>101</v>
      </c>
      <c r="W22" t="s">
        <v>102</v>
      </c>
      <c r="X22" t="s">
        <v>103</v>
      </c>
      <c r="Y22" t="s">
        <v>104</v>
      </c>
      <c r="Z22" t="s">
        <v>37</v>
      </c>
    </row>
    <row r="23" spans="1:26" x14ac:dyDescent="0.3">
      <c r="A23">
        <v>10121</v>
      </c>
      <c r="B23">
        <v>34</v>
      </c>
      <c r="C23">
        <v>81.349999999999994</v>
      </c>
      <c r="D23">
        <v>5</v>
      </c>
      <c r="E23">
        <v>2765.9</v>
      </c>
      <c r="F23" s="2">
        <v>37748</v>
      </c>
      <c r="G23" s="2" t="str">
        <f t="shared" si="0"/>
        <v>May</v>
      </c>
      <c r="H23" t="s">
        <v>26</v>
      </c>
      <c r="I23">
        <v>2</v>
      </c>
      <c r="J23">
        <v>5</v>
      </c>
      <c r="K23">
        <v>2003</v>
      </c>
      <c r="L23" t="s">
        <v>27</v>
      </c>
      <c r="M23">
        <v>95</v>
      </c>
      <c r="N23" t="s">
        <v>28</v>
      </c>
      <c r="O23" t="s">
        <v>38</v>
      </c>
      <c r="P23" t="s">
        <v>39</v>
      </c>
      <c r="Q23" t="s">
        <v>40</v>
      </c>
      <c r="R23" t="s">
        <v>755</v>
      </c>
      <c r="S23" t="s">
        <v>41</v>
      </c>
      <c r="T23" t="s">
        <v>755</v>
      </c>
      <c r="U23">
        <v>51100</v>
      </c>
      <c r="V23" t="s">
        <v>42</v>
      </c>
      <c r="W23" t="s">
        <v>43</v>
      </c>
      <c r="X23" t="s">
        <v>44</v>
      </c>
      <c r="Y23" t="s">
        <v>45</v>
      </c>
      <c r="Z23" t="s">
        <v>37</v>
      </c>
    </row>
    <row r="24" spans="1:26" x14ac:dyDescent="0.3">
      <c r="A24">
        <v>10122</v>
      </c>
      <c r="B24">
        <v>42</v>
      </c>
      <c r="C24">
        <v>100</v>
      </c>
      <c r="D24">
        <v>10</v>
      </c>
      <c r="E24">
        <v>7599.9</v>
      </c>
      <c r="F24" s="2">
        <v>37749</v>
      </c>
      <c r="G24" s="2" t="str">
        <f t="shared" si="0"/>
        <v>May</v>
      </c>
      <c r="H24" t="s">
        <v>26</v>
      </c>
      <c r="I24">
        <v>2</v>
      </c>
      <c r="J24">
        <v>5</v>
      </c>
      <c r="K24">
        <v>2003</v>
      </c>
      <c r="L24" t="s">
        <v>198</v>
      </c>
      <c r="M24">
        <v>194</v>
      </c>
      <c r="N24" t="s">
        <v>480</v>
      </c>
      <c r="O24" t="s">
        <v>489</v>
      </c>
      <c r="P24" t="s">
        <v>490</v>
      </c>
      <c r="Q24" t="s">
        <v>491</v>
      </c>
      <c r="R24" t="s">
        <v>755</v>
      </c>
      <c r="S24" t="s">
        <v>492</v>
      </c>
      <c r="T24" t="s">
        <v>755</v>
      </c>
      <c r="U24">
        <v>13008</v>
      </c>
      <c r="V24" t="s">
        <v>42</v>
      </c>
      <c r="W24" t="s">
        <v>43</v>
      </c>
      <c r="X24" t="s">
        <v>493</v>
      </c>
      <c r="Y24" t="s">
        <v>494</v>
      </c>
      <c r="Z24" t="s">
        <v>165</v>
      </c>
    </row>
    <row r="25" spans="1:26" x14ac:dyDescent="0.3">
      <c r="A25">
        <v>10123</v>
      </c>
      <c r="B25">
        <v>26</v>
      </c>
      <c r="C25">
        <v>100</v>
      </c>
      <c r="D25">
        <v>2</v>
      </c>
      <c r="E25">
        <v>3073.72</v>
      </c>
      <c r="F25" s="2">
        <v>37761</v>
      </c>
      <c r="G25" s="2" t="str">
        <f t="shared" si="0"/>
        <v>May</v>
      </c>
      <c r="H25" t="s">
        <v>26</v>
      </c>
      <c r="I25">
        <v>2</v>
      </c>
      <c r="J25">
        <v>5</v>
      </c>
      <c r="K25">
        <v>2003</v>
      </c>
      <c r="L25" t="s">
        <v>198</v>
      </c>
      <c r="M25">
        <v>124</v>
      </c>
      <c r="N25" t="s">
        <v>653</v>
      </c>
      <c r="O25" t="s">
        <v>348</v>
      </c>
      <c r="P25" t="s">
        <v>349</v>
      </c>
      <c r="Q25" t="s">
        <v>350</v>
      </c>
      <c r="R25" t="s">
        <v>755</v>
      </c>
      <c r="S25" t="s">
        <v>126</v>
      </c>
      <c r="T25" t="s">
        <v>755</v>
      </c>
      <c r="U25">
        <v>44000</v>
      </c>
      <c r="V25" t="s">
        <v>42</v>
      </c>
      <c r="W25" t="s">
        <v>43</v>
      </c>
      <c r="X25" t="s">
        <v>351</v>
      </c>
      <c r="Y25" t="s">
        <v>352</v>
      </c>
      <c r="Z25" t="s">
        <v>52</v>
      </c>
    </row>
    <row r="26" spans="1:26" x14ac:dyDescent="0.3">
      <c r="A26">
        <v>10124</v>
      </c>
      <c r="B26">
        <v>21</v>
      </c>
      <c r="C26">
        <v>100</v>
      </c>
      <c r="D26">
        <v>6</v>
      </c>
      <c r="E26">
        <v>2856</v>
      </c>
      <c r="F26" s="2">
        <v>37762</v>
      </c>
      <c r="G26" s="2" t="str">
        <f t="shared" si="0"/>
        <v>May</v>
      </c>
      <c r="H26" t="s">
        <v>26</v>
      </c>
      <c r="I26">
        <v>2</v>
      </c>
      <c r="J26">
        <v>5</v>
      </c>
      <c r="K26">
        <v>2003</v>
      </c>
      <c r="L26" t="s">
        <v>630</v>
      </c>
      <c r="M26">
        <v>170</v>
      </c>
      <c r="N26" t="s">
        <v>683</v>
      </c>
      <c r="O26" t="s">
        <v>617</v>
      </c>
      <c r="P26">
        <v>7025551838</v>
      </c>
      <c r="Q26" t="s">
        <v>618</v>
      </c>
      <c r="R26" t="s">
        <v>755</v>
      </c>
      <c r="S26" t="s">
        <v>619</v>
      </c>
      <c r="T26" t="s">
        <v>620</v>
      </c>
      <c r="U26">
        <v>83030</v>
      </c>
      <c r="V26" t="s">
        <v>33</v>
      </c>
      <c r="W26" t="s">
        <v>34</v>
      </c>
      <c r="X26" t="s">
        <v>121</v>
      </c>
      <c r="Y26" t="s">
        <v>451</v>
      </c>
      <c r="Z26" t="s">
        <v>37</v>
      </c>
    </row>
    <row r="27" spans="1:26" x14ac:dyDescent="0.3">
      <c r="A27">
        <v>10125</v>
      </c>
      <c r="B27">
        <v>32</v>
      </c>
      <c r="C27">
        <v>100</v>
      </c>
      <c r="D27">
        <v>1</v>
      </c>
      <c r="E27">
        <v>3254.72</v>
      </c>
      <c r="F27" s="2">
        <v>37762</v>
      </c>
      <c r="G27" s="2" t="str">
        <f t="shared" si="0"/>
        <v>May</v>
      </c>
      <c r="H27" t="s">
        <v>26</v>
      </c>
      <c r="I27">
        <v>2</v>
      </c>
      <c r="J27">
        <v>5</v>
      </c>
      <c r="K27">
        <v>2003</v>
      </c>
      <c r="L27" t="s">
        <v>630</v>
      </c>
      <c r="M27">
        <v>102</v>
      </c>
      <c r="N27" t="s">
        <v>631</v>
      </c>
      <c r="O27" t="s">
        <v>95</v>
      </c>
      <c r="P27" t="s">
        <v>96</v>
      </c>
      <c r="Q27" t="s">
        <v>97</v>
      </c>
      <c r="R27" t="s">
        <v>98</v>
      </c>
      <c r="S27" t="s">
        <v>99</v>
      </c>
      <c r="T27" t="s">
        <v>100</v>
      </c>
      <c r="U27">
        <v>3004</v>
      </c>
      <c r="V27" t="s">
        <v>101</v>
      </c>
      <c r="W27" t="s">
        <v>102</v>
      </c>
      <c r="X27" t="s">
        <v>103</v>
      </c>
      <c r="Y27" t="s">
        <v>104</v>
      </c>
      <c r="Z27" t="s">
        <v>52</v>
      </c>
    </row>
    <row r="28" spans="1:26" x14ac:dyDescent="0.3">
      <c r="A28">
        <v>10126</v>
      </c>
      <c r="B28">
        <v>38</v>
      </c>
      <c r="C28">
        <v>100</v>
      </c>
      <c r="D28">
        <v>11</v>
      </c>
      <c r="E28">
        <v>7329.06</v>
      </c>
      <c r="F28" s="2">
        <v>37769</v>
      </c>
      <c r="G28" s="2" t="str">
        <f t="shared" si="0"/>
        <v>May</v>
      </c>
      <c r="H28" t="s">
        <v>26</v>
      </c>
      <c r="I28">
        <v>2</v>
      </c>
      <c r="J28">
        <v>5</v>
      </c>
      <c r="K28">
        <v>2003</v>
      </c>
      <c r="L28" t="s">
        <v>198</v>
      </c>
      <c r="M28">
        <v>214</v>
      </c>
      <c r="N28" t="s">
        <v>199</v>
      </c>
      <c r="O28" t="s">
        <v>210</v>
      </c>
      <c r="P28" t="s">
        <v>211</v>
      </c>
      <c r="Q28" t="s">
        <v>212</v>
      </c>
      <c r="R28" t="s">
        <v>755</v>
      </c>
      <c r="S28" t="s">
        <v>193</v>
      </c>
      <c r="T28" t="s">
        <v>755</v>
      </c>
      <c r="U28">
        <v>28023</v>
      </c>
      <c r="V28" t="s">
        <v>194</v>
      </c>
      <c r="W28" t="s">
        <v>43</v>
      </c>
      <c r="X28" t="s">
        <v>213</v>
      </c>
      <c r="Y28" t="s">
        <v>214</v>
      </c>
      <c r="Z28" t="s">
        <v>165</v>
      </c>
    </row>
    <row r="29" spans="1:26" x14ac:dyDescent="0.3">
      <c r="A29">
        <v>10127</v>
      </c>
      <c r="B29">
        <v>46</v>
      </c>
      <c r="C29">
        <v>100</v>
      </c>
      <c r="D29">
        <v>2</v>
      </c>
      <c r="E29">
        <v>11279.2</v>
      </c>
      <c r="F29" s="2">
        <v>37775</v>
      </c>
      <c r="G29" s="2" t="str">
        <f t="shared" si="0"/>
        <v>Jun</v>
      </c>
      <c r="H29" t="s">
        <v>26</v>
      </c>
      <c r="I29">
        <v>2</v>
      </c>
      <c r="J29">
        <v>6</v>
      </c>
      <c r="K29">
        <v>2003</v>
      </c>
      <c r="L29" t="s">
        <v>198</v>
      </c>
      <c r="M29">
        <v>207</v>
      </c>
      <c r="N29" t="s">
        <v>536</v>
      </c>
      <c r="O29" t="s">
        <v>537</v>
      </c>
      <c r="P29">
        <v>2125557413</v>
      </c>
      <c r="Q29" t="s">
        <v>538</v>
      </c>
      <c r="R29" t="s">
        <v>539</v>
      </c>
      <c r="S29" t="s">
        <v>31</v>
      </c>
      <c r="T29" t="s">
        <v>32</v>
      </c>
      <c r="U29">
        <v>10022</v>
      </c>
      <c r="V29" t="s">
        <v>33</v>
      </c>
      <c r="W29" t="s">
        <v>34</v>
      </c>
      <c r="X29" t="s">
        <v>58</v>
      </c>
      <c r="Y29" t="s">
        <v>540</v>
      </c>
      <c r="Z29" t="s">
        <v>165</v>
      </c>
    </row>
    <row r="30" spans="1:26" x14ac:dyDescent="0.3">
      <c r="A30">
        <v>10128</v>
      </c>
      <c r="B30">
        <v>41</v>
      </c>
      <c r="C30">
        <v>100</v>
      </c>
      <c r="D30">
        <v>2</v>
      </c>
      <c r="E30">
        <v>5544.02</v>
      </c>
      <c r="F30" s="2">
        <v>37778</v>
      </c>
      <c r="G30" s="2" t="str">
        <f t="shared" si="0"/>
        <v>Jun</v>
      </c>
      <c r="H30" t="s">
        <v>26</v>
      </c>
      <c r="I30">
        <v>2</v>
      </c>
      <c r="J30">
        <v>6</v>
      </c>
      <c r="K30">
        <v>2003</v>
      </c>
      <c r="L30" t="s">
        <v>630</v>
      </c>
      <c r="M30">
        <v>136</v>
      </c>
      <c r="N30" t="s">
        <v>706</v>
      </c>
      <c r="O30" t="s">
        <v>190</v>
      </c>
      <c r="P30" t="s">
        <v>191</v>
      </c>
      <c r="Q30" t="s">
        <v>192</v>
      </c>
      <c r="R30" t="s">
        <v>755</v>
      </c>
      <c r="S30" t="s">
        <v>193</v>
      </c>
      <c r="T30" t="s">
        <v>755</v>
      </c>
      <c r="U30">
        <v>28034</v>
      </c>
      <c r="V30" t="s">
        <v>194</v>
      </c>
      <c r="W30" t="s">
        <v>43</v>
      </c>
      <c r="X30" t="s">
        <v>195</v>
      </c>
      <c r="Y30" t="s">
        <v>196</v>
      </c>
      <c r="Z30" t="s">
        <v>52</v>
      </c>
    </row>
    <row r="31" spans="1:26" x14ac:dyDescent="0.3">
      <c r="A31">
        <v>10129</v>
      </c>
      <c r="B31">
        <v>33</v>
      </c>
      <c r="C31">
        <v>100</v>
      </c>
      <c r="D31">
        <v>2</v>
      </c>
      <c r="E31">
        <v>4398.24</v>
      </c>
      <c r="F31" s="2">
        <v>37784</v>
      </c>
      <c r="G31" s="2" t="str">
        <f t="shared" si="0"/>
        <v>Jun</v>
      </c>
      <c r="H31" t="s">
        <v>26</v>
      </c>
      <c r="I31">
        <v>2</v>
      </c>
      <c r="J31">
        <v>6</v>
      </c>
      <c r="K31">
        <v>2003</v>
      </c>
      <c r="L31" t="s">
        <v>198</v>
      </c>
      <c r="M31">
        <v>136</v>
      </c>
      <c r="N31" t="s">
        <v>358</v>
      </c>
      <c r="O31" t="s">
        <v>367</v>
      </c>
      <c r="P31" t="s">
        <v>368</v>
      </c>
      <c r="Q31" t="s">
        <v>369</v>
      </c>
      <c r="R31" t="s">
        <v>755</v>
      </c>
      <c r="S31" t="s">
        <v>370</v>
      </c>
      <c r="T31" t="s">
        <v>755</v>
      </c>
      <c r="U31" t="s">
        <v>371</v>
      </c>
      <c r="V31" t="s">
        <v>185</v>
      </c>
      <c r="W31" t="s">
        <v>43</v>
      </c>
      <c r="X31" t="s">
        <v>63</v>
      </c>
      <c r="Y31" t="s">
        <v>372</v>
      </c>
      <c r="Z31" t="s">
        <v>52</v>
      </c>
    </row>
    <row r="32" spans="1:26" x14ac:dyDescent="0.3">
      <c r="A32">
        <v>10130</v>
      </c>
      <c r="B32">
        <v>40</v>
      </c>
      <c r="C32">
        <v>96.34</v>
      </c>
      <c r="D32">
        <v>2</v>
      </c>
      <c r="E32">
        <v>3853.6</v>
      </c>
      <c r="F32" s="2">
        <v>37788</v>
      </c>
      <c r="G32" s="2" t="str">
        <f t="shared" si="0"/>
        <v>Jun</v>
      </c>
      <c r="H32" t="s">
        <v>26</v>
      </c>
      <c r="I32">
        <v>2</v>
      </c>
      <c r="J32">
        <v>6</v>
      </c>
      <c r="K32">
        <v>2003</v>
      </c>
      <c r="L32" t="s">
        <v>702</v>
      </c>
      <c r="M32">
        <v>86</v>
      </c>
      <c r="N32" t="s">
        <v>703</v>
      </c>
      <c r="O32" t="s">
        <v>704</v>
      </c>
      <c r="P32">
        <v>6175558428</v>
      </c>
      <c r="Q32" t="s">
        <v>705</v>
      </c>
      <c r="R32" t="s">
        <v>755</v>
      </c>
      <c r="S32" t="s">
        <v>315</v>
      </c>
      <c r="T32" t="s">
        <v>133</v>
      </c>
      <c r="U32">
        <v>58339</v>
      </c>
      <c r="V32" t="s">
        <v>33</v>
      </c>
      <c r="W32" t="s">
        <v>34</v>
      </c>
      <c r="X32" t="s">
        <v>605</v>
      </c>
      <c r="Y32" t="s">
        <v>270</v>
      </c>
      <c r="Z32" t="s">
        <v>52</v>
      </c>
    </row>
    <row r="33" spans="1:26" x14ac:dyDescent="0.3">
      <c r="A33">
        <v>10131</v>
      </c>
      <c r="B33">
        <v>21</v>
      </c>
      <c r="C33">
        <v>100</v>
      </c>
      <c r="D33">
        <v>4</v>
      </c>
      <c r="E33">
        <v>2781.66</v>
      </c>
      <c r="F33" s="2">
        <v>37788</v>
      </c>
      <c r="G33" s="2" t="str">
        <f t="shared" si="0"/>
        <v>Jun</v>
      </c>
      <c r="H33" t="s">
        <v>26</v>
      </c>
      <c r="I33">
        <v>2</v>
      </c>
      <c r="J33">
        <v>6</v>
      </c>
      <c r="K33">
        <v>2003</v>
      </c>
      <c r="L33" t="s">
        <v>658</v>
      </c>
      <c r="M33">
        <v>157</v>
      </c>
      <c r="N33" t="s">
        <v>659</v>
      </c>
      <c r="O33" t="s">
        <v>661</v>
      </c>
      <c r="P33">
        <v>2035554407</v>
      </c>
      <c r="Q33" t="s">
        <v>662</v>
      </c>
      <c r="R33" t="s">
        <v>755</v>
      </c>
      <c r="S33" t="s">
        <v>590</v>
      </c>
      <c r="T33" t="s">
        <v>120</v>
      </c>
      <c r="U33">
        <v>97561</v>
      </c>
      <c r="V33" t="s">
        <v>33</v>
      </c>
      <c r="W33" t="s">
        <v>34</v>
      </c>
      <c r="X33" t="s">
        <v>663</v>
      </c>
      <c r="Y33" t="s">
        <v>664</v>
      </c>
      <c r="Z33" t="s">
        <v>37</v>
      </c>
    </row>
    <row r="34" spans="1:26" x14ac:dyDescent="0.3">
      <c r="A34">
        <v>10133</v>
      </c>
      <c r="B34">
        <v>49</v>
      </c>
      <c r="C34">
        <v>69.27</v>
      </c>
      <c r="D34">
        <v>3</v>
      </c>
      <c r="E34">
        <v>3394.23</v>
      </c>
      <c r="F34" s="2">
        <v>37799</v>
      </c>
      <c r="G34" s="2" t="str">
        <f t="shared" si="0"/>
        <v>Jun</v>
      </c>
      <c r="H34" t="s">
        <v>26</v>
      </c>
      <c r="I34">
        <v>2</v>
      </c>
      <c r="J34">
        <v>6</v>
      </c>
      <c r="K34">
        <v>2003</v>
      </c>
      <c r="L34" t="s">
        <v>658</v>
      </c>
      <c r="M34">
        <v>84</v>
      </c>
      <c r="N34" t="s">
        <v>695</v>
      </c>
      <c r="O34" t="s">
        <v>190</v>
      </c>
      <c r="P34" t="s">
        <v>191</v>
      </c>
      <c r="Q34" t="s">
        <v>192</v>
      </c>
      <c r="R34" t="s">
        <v>755</v>
      </c>
      <c r="S34" t="s">
        <v>193</v>
      </c>
      <c r="T34" t="s">
        <v>755</v>
      </c>
      <c r="U34">
        <v>28034</v>
      </c>
      <c r="V34" t="s">
        <v>194</v>
      </c>
      <c r="W34" t="s">
        <v>43</v>
      </c>
      <c r="X34" t="s">
        <v>195</v>
      </c>
      <c r="Y34" t="s">
        <v>196</v>
      </c>
      <c r="Z34" t="s">
        <v>52</v>
      </c>
    </row>
    <row r="35" spans="1:26" x14ac:dyDescent="0.3">
      <c r="A35">
        <v>10134</v>
      </c>
      <c r="B35">
        <v>41</v>
      </c>
      <c r="C35">
        <v>94.74</v>
      </c>
      <c r="D35">
        <v>2</v>
      </c>
      <c r="E35">
        <v>3884.34</v>
      </c>
      <c r="F35" s="2">
        <v>37803</v>
      </c>
      <c r="G35" s="2" t="str">
        <f t="shared" si="0"/>
        <v>Jul</v>
      </c>
      <c r="H35" t="s">
        <v>26</v>
      </c>
      <c r="I35">
        <v>3</v>
      </c>
      <c r="J35">
        <v>7</v>
      </c>
      <c r="K35">
        <v>2003</v>
      </c>
      <c r="L35" t="s">
        <v>27</v>
      </c>
      <c r="M35">
        <v>95</v>
      </c>
      <c r="N35" t="s">
        <v>28</v>
      </c>
      <c r="O35" t="s">
        <v>46</v>
      </c>
      <c r="P35" t="s">
        <v>47</v>
      </c>
      <c r="Q35" t="s">
        <v>48</v>
      </c>
      <c r="R35" t="s">
        <v>755</v>
      </c>
      <c r="S35" t="s">
        <v>49</v>
      </c>
      <c r="T35" t="s">
        <v>755</v>
      </c>
      <c r="U35">
        <v>75508</v>
      </c>
      <c r="V35" t="s">
        <v>42</v>
      </c>
      <c r="W35" t="s">
        <v>43</v>
      </c>
      <c r="X35" t="s">
        <v>50</v>
      </c>
      <c r="Y35" t="s">
        <v>51</v>
      </c>
      <c r="Z35" t="s">
        <v>52</v>
      </c>
    </row>
    <row r="36" spans="1:26" x14ac:dyDescent="0.3">
      <c r="A36">
        <v>10135</v>
      </c>
      <c r="B36">
        <v>42</v>
      </c>
      <c r="C36">
        <v>100</v>
      </c>
      <c r="D36">
        <v>7</v>
      </c>
      <c r="E36">
        <v>8008.56</v>
      </c>
      <c r="F36" s="2">
        <v>37804</v>
      </c>
      <c r="G36" s="2" t="str">
        <f t="shared" si="0"/>
        <v>Jul</v>
      </c>
      <c r="H36" t="s">
        <v>26</v>
      </c>
      <c r="I36">
        <v>3</v>
      </c>
      <c r="J36">
        <v>7</v>
      </c>
      <c r="K36">
        <v>2003</v>
      </c>
      <c r="L36" t="s">
        <v>198</v>
      </c>
      <c r="M36">
        <v>194</v>
      </c>
      <c r="N36" t="s">
        <v>480</v>
      </c>
      <c r="O36" t="s">
        <v>301</v>
      </c>
      <c r="P36">
        <v>4155551450</v>
      </c>
      <c r="Q36" t="s">
        <v>302</v>
      </c>
      <c r="R36" t="s">
        <v>755</v>
      </c>
      <c r="S36" t="s">
        <v>303</v>
      </c>
      <c r="T36" t="s">
        <v>57</v>
      </c>
      <c r="U36">
        <v>97562</v>
      </c>
      <c r="V36" t="s">
        <v>33</v>
      </c>
      <c r="W36" t="s">
        <v>34</v>
      </c>
      <c r="X36" t="s">
        <v>304</v>
      </c>
      <c r="Y36" t="s">
        <v>305</v>
      </c>
      <c r="Z36" t="s">
        <v>165</v>
      </c>
    </row>
    <row r="37" spans="1:26" x14ac:dyDescent="0.3">
      <c r="A37">
        <v>10136</v>
      </c>
      <c r="B37">
        <v>25</v>
      </c>
      <c r="C37">
        <v>100</v>
      </c>
      <c r="D37">
        <v>2</v>
      </c>
      <c r="E37">
        <v>3644.75</v>
      </c>
      <c r="F37" s="2">
        <v>37806</v>
      </c>
      <c r="G37" s="2" t="str">
        <f t="shared" si="0"/>
        <v>Jul</v>
      </c>
      <c r="H37" t="s">
        <v>26</v>
      </c>
      <c r="I37">
        <v>3</v>
      </c>
      <c r="J37">
        <v>7</v>
      </c>
      <c r="K37">
        <v>2003</v>
      </c>
      <c r="L37" t="s">
        <v>198</v>
      </c>
      <c r="M37">
        <v>141</v>
      </c>
      <c r="N37" t="s">
        <v>614</v>
      </c>
      <c r="O37" t="s">
        <v>379</v>
      </c>
      <c r="P37" t="s">
        <v>380</v>
      </c>
      <c r="Q37" t="s">
        <v>381</v>
      </c>
      <c r="R37" t="s">
        <v>755</v>
      </c>
      <c r="S37" t="s">
        <v>382</v>
      </c>
      <c r="T37" t="s">
        <v>755</v>
      </c>
      <c r="U37">
        <v>31000</v>
      </c>
      <c r="V37" t="s">
        <v>42</v>
      </c>
      <c r="W37" t="s">
        <v>43</v>
      </c>
      <c r="X37" t="s">
        <v>383</v>
      </c>
      <c r="Y37" t="s">
        <v>384</v>
      </c>
      <c r="Z37" t="s">
        <v>52</v>
      </c>
    </row>
    <row r="38" spans="1:26" x14ac:dyDescent="0.3">
      <c r="A38">
        <v>10137</v>
      </c>
      <c r="B38">
        <v>44</v>
      </c>
      <c r="C38">
        <v>99.55</v>
      </c>
      <c r="D38">
        <v>2</v>
      </c>
      <c r="E38">
        <v>4380.2</v>
      </c>
      <c r="F38" s="2">
        <v>37812</v>
      </c>
      <c r="G38" s="2" t="str">
        <f t="shared" si="0"/>
        <v>Jul</v>
      </c>
      <c r="H38" t="s">
        <v>26</v>
      </c>
      <c r="I38">
        <v>3</v>
      </c>
      <c r="J38">
        <v>7</v>
      </c>
      <c r="K38">
        <v>2003</v>
      </c>
      <c r="L38" t="s">
        <v>198</v>
      </c>
      <c r="M38">
        <v>124</v>
      </c>
      <c r="N38" t="s">
        <v>653</v>
      </c>
      <c r="O38" t="s">
        <v>38</v>
      </c>
      <c r="P38" t="s">
        <v>39</v>
      </c>
      <c r="Q38" t="s">
        <v>40</v>
      </c>
      <c r="R38" t="s">
        <v>755</v>
      </c>
      <c r="S38" t="s">
        <v>41</v>
      </c>
      <c r="T38" t="s">
        <v>755</v>
      </c>
      <c r="U38">
        <v>51100</v>
      </c>
      <c r="V38" t="s">
        <v>42</v>
      </c>
      <c r="W38" t="s">
        <v>43</v>
      </c>
      <c r="X38" t="s">
        <v>44</v>
      </c>
      <c r="Y38" t="s">
        <v>45</v>
      </c>
      <c r="Z38" t="s">
        <v>52</v>
      </c>
    </row>
    <row r="39" spans="1:26" x14ac:dyDescent="0.3">
      <c r="A39">
        <v>10139</v>
      </c>
      <c r="B39">
        <v>31</v>
      </c>
      <c r="C39">
        <v>100</v>
      </c>
      <c r="D39">
        <v>7</v>
      </c>
      <c r="E39">
        <v>3184.94</v>
      </c>
      <c r="F39" s="2">
        <v>37818</v>
      </c>
      <c r="G39" s="2" t="str">
        <f t="shared" si="0"/>
        <v>Jul</v>
      </c>
      <c r="H39" t="s">
        <v>26</v>
      </c>
      <c r="I39">
        <v>3</v>
      </c>
      <c r="J39">
        <v>7</v>
      </c>
      <c r="K39">
        <v>2003</v>
      </c>
      <c r="L39" t="s">
        <v>630</v>
      </c>
      <c r="M39">
        <v>102</v>
      </c>
      <c r="N39" t="s">
        <v>631</v>
      </c>
      <c r="O39" t="s">
        <v>167</v>
      </c>
      <c r="P39" t="s">
        <v>168</v>
      </c>
      <c r="Q39" t="s">
        <v>169</v>
      </c>
      <c r="R39" t="s">
        <v>170</v>
      </c>
      <c r="S39" t="s">
        <v>171</v>
      </c>
      <c r="T39" t="s">
        <v>172</v>
      </c>
      <c r="U39">
        <v>2067</v>
      </c>
      <c r="V39" t="s">
        <v>101</v>
      </c>
      <c r="W39" t="s">
        <v>102</v>
      </c>
      <c r="X39" t="s">
        <v>173</v>
      </c>
      <c r="Y39" t="s">
        <v>174</v>
      </c>
      <c r="Z39" t="s">
        <v>52</v>
      </c>
    </row>
    <row r="40" spans="1:26" x14ac:dyDescent="0.3">
      <c r="A40">
        <v>10140</v>
      </c>
      <c r="B40">
        <v>37</v>
      </c>
      <c r="C40">
        <v>100</v>
      </c>
      <c r="D40">
        <v>11</v>
      </c>
      <c r="E40">
        <v>7374.1</v>
      </c>
      <c r="F40" s="2">
        <v>37826</v>
      </c>
      <c r="G40" s="2" t="str">
        <f t="shared" si="0"/>
        <v>Jul</v>
      </c>
      <c r="H40" t="s">
        <v>26</v>
      </c>
      <c r="I40">
        <v>3</v>
      </c>
      <c r="J40">
        <v>7</v>
      </c>
      <c r="K40">
        <v>2003</v>
      </c>
      <c r="L40" t="s">
        <v>198</v>
      </c>
      <c r="M40">
        <v>214</v>
      </c>
      <c r="N40" t="s">
        <v>199</v>
      </c>
      <c r="O40" t="s">
        <v>65</v>
      </c>
      <c r="P40">
        <v>6505556809</v>
      </c>
      <c r="Q40" t="s">
        <v>66</v>
      </c>
      <c r="R40" t="s">
        <v>755</v>
      </c>
      <c r="S40" t="s">
        <v>67</v>
      </c>
      <c r="T40" t="s">
        <v>57</v>
      </c>
      <c r="U40">
        <v>94217</v>
      </c>
      <c r="V40" t="s">
        <v>33</v>
      </c>
      <c r="W40" t="s">
        <v>34</v>
      </c>
      <c r="X40" t="s">
        <v>68</v>
      </c>
      <c r="Y40" t="s">
        <v>69</v>
      </c>
      <c r="Z40" t="s">
        <v>165</v>
      </c>
    </row>
    <row r="41" spans="1:26" x14ac:dyDescent="0.3">
      <c r="A41">
        <v>10141</v>
      </c>
      <c r="B41">
        <v>21</v>
      </c>
      <c r="C41">
        <v>100</v>
      </c>
      <c r="D41">
        <v>5</v>
      </c>
      <c r="E41">
        <v>2140.11</v>
      </c>
      <c r="F41" s="2">
        <v>37834</v>
      </c>
      <c r="G41" s="2" t="str">
        <f t="shared" si="0"/>
        <v>Aug</v>
      </c>
      <c r="H41" t="s">
        <v>26</v>
      </c>
      <c r="I41">
        <v>3</v>
      </c>
      <c r="J41">
        <v>8</v>
      </c>
      <c r="K41">
        <v>2003</v>
      </c>
      <c r="L41" t="s">
        <v>573</v>
      </c>
      <c r="M41">
        <v>118</v>
      </c>
      <c r="N41" t="s">
        <v>594</v>
      </c>
      <c r="O41" t="s">
        <v>527</v>
      </c>
      <c r="P41" t="s">
        <v>528</v>
      </c>
      <c r="Q41" t="s">
        <v>529</v>
      </c>
      <c r="R41" t="s">
        <v>755</v>
      </c>
      <c r="S41" t="s">
        <v>530</v>
      </c>
      <c r="T41" t="s">
        <v>755</v>
      </c>
      <c r="U41" t="s">
        <v>531</v>
      </c>
      <c r="V41" t="s">
        <v>141</v>
      </c>
      <c r="W41" t="s">
        <v>43</v>
      </c>
      <c r="X41" t="s">
        <v>532</v>
      </c>
      <c r="Y41" t="s">
        <v>533</v>
      </c>
      <c r="Z41" t="s">
        <v>37</v>
      </c>
    </row>
    <row r="42" spans="1:26" x14ac:dyDescent="0.3">
      <c r="A42">
        <v>10142</v>
      </c>
      <c r="B42">
        <v>33</v>
      </c>
      <c r="C42">
        <v>100</v>
      </c>
      <c r="D42">
        <v>12</v>
      </c>
      <c r="E42">
        <v>8023.29</v>
      </c>
      <c r="F42" s="2">
        <v>37841</v>
      </c>
      <c r="G42" s="2" t="str">
        <f t="shared" si="0"/>
        <v>Aug</v>
      </c>
      <c r="H42" t="s">
        <v>26</v>
      </c>
      <c r="I42">
        <v>3</v>
      </c>
      <c r="J42">
        <v>8</v>
      </c>
      <c r="K42">
        <v>2003</v>
      </c>
      <c r="L42" t="s">
        <v>198</v>
      </c>
      <c r="M42">
        <v>207</v>
      </c>
      <c r="N42" t="s">
        <v>536</v>
      </c>
      <c r="O42" t="s">
        <v>301</v>
      </c>
      <c r="P42">
        <v>4155551450</v>
      </c>
      <c r="Q42" t="s">
        <v>302</v>
      </c>
      <c r="R42" t="s">
        <v>755</v>
      </c>
      <c r="S42" t="s">
        <v>303</v>
      </c>
      <c r="T42" t="s">
        <v>57</v>
      </c>
      <c r="U42">
        <v>97562</v>
      </c>
      <c r="V42" t="s">
        <v>33</v>
      </c>
      <c r="W42" t="s">
        <v>34</v>
      </c>
      <c r="X42" t="s">
        <v>304</v>
      </c>
      <c r="Y42" t="s">
        <v>305</v>
      </c>
      <c r="Z42" t="s">
        <v>165</v>
      </c>
    </row>
    <row r="43" spans="1:26" x14ac:dyDescent="0.3">
      <c r="A43">
        <v>10143</v>
      </c>
      <c r="B43">
        <v>49</v>
      </c>
      <c r="C43">
        <v>100</v>
      </c>
      <c r="D43">
        <v>15</v>
      </c>
      <c r="E43">
        <v>5597.76</v>
      </c>
      <c r="F43" s="2">
        <v>37843</v>
      </c>
      <c r="G43" s="2" t="str">
        <f t="shared" si="0"/>
        <v>Aug</v>
      </c>
      <c r="H43" t="s">
        <v>26</v>
      </c>
      <c r="I43">
        <v>3</v>
      </c>
      <c r="J43">
        <v>8</v>
      </c>
      <c r="K43">
        <v>2003</v>
      </c>
      <c r="L43" t="s">
        <v>198</v>
      </c>
      <c r="M43">
        <v>136</v>
      </c>
      <c r="N43" t="s">
        <v>358</v>
      </c>
      <c r="O43" t="s">
        <v>373</v>
      </c>
      <c r="P43">
        <v>5085559555</v>
      </c>
      <c r="Q43" t="s">
        <v>374</v>
      </c>
      <c r="R43" t="s">
        <v>755</v>
      </c>
      <c r="S43" t="s">
        <v>177</v>
      </c>
      <c r="T43" t="s">
        <v>133</v>
      </c>
      <c r="U43">
        <v>50553</v>
      </c>
      <c r="V43" t="s">
        <v>33</v>
      </c>
      <c r="W43" t="s">
        <v>34</v>
      </c>
      <c r="X43" t="s">
        <v>375</v>
      </c>
      <c r="Y43" t="s">
        <v>376</v>
      </c>
      <c r="Z43" t="s">
        <v>52</v>
      </c>
    </row>
    <row r="44" spans="1:26" x14ac:dyDescent="0.3">
      <c r="A44">
        <v>10144</v>
      </c>
      <c r="B44">
        <v>20</v>
      </c>
      <c r="C44">
        <v>81.86</v>
      </c>
      <c r="D44">
        <v>1</v>
      </c>
      <c r="E44">
        <v>1637.2</v>
      </c>
      <c r="F44" s="2">
        <v>37846</v>
      </c>
      <c r="G44" s="2" t="str">
        <f t="shared" si="0"/>
        <v>Aug</v>
      </c>
      <c r="H44" t="s">
        <v>26</v>
      </c>
      <c r="I44">
        <v>3</v>
      </c>
      <c r="J44">
        <v>8</v>
      </c>
      <c r="K44">
        <v>2003</v>
      </c>
      <c r="L44" t="s">
        <v>630</v>
      </c>
      <c r="M44">
        <v>68</v>
      </c>
      <c r="N44" t="s">
        <v>747</v>
      </c>
      <c r="O44" t="s">
        <v>675</v>
      </c>
      <c r="P44" t="s">
        <v>676</v>
      </c>
      <c r="Q44" t="s">
        <v>677</v>
      </c>
      <c r="R44" t="s">
        <v>755</v>
      </c>
      <c r="S44" t="s">
        <v>678</v>
      </c>
      <c r="T44" t="s">
        <v>755</v>
      </c>
      <c r="U44" t="s">
        <v>679</v>
      </c>
      <c r="V44" t="s">
        <v>414</v>
      </c>
      <c r="W44" t="s">
        <v>43</v>
      </c>
      <c r="X44" t="s">
        <v>680</v>
      </c>
      <c r="Y44" t="s">
        <v>681</v>
      </c>
      <c r="Z44" t="s">
        <v>37</v>
      </c>
    </row>
    <row r="45" spans="1:26" x14ac:dyDescent="0.3">
      <c r="A45">
        <v>10145</v>
      </c>
      <c r="B45">
        <v>45</v>
      </c>
      <c r="C45">
        <v>83.26</v>
      </c>
      <c r="D45">
        <v>6</v>
      </c>
      <c r="E45">
        <v>3746.7</v>
      </c>
      <c r="F45" s="2">
        <v>37858</v>
      </c>
      <c r="G45" s="2" t="str">
        <f t="shared" si="0"/>
        <v>Aug</v>
      </c>
      <c r="H45" t="s">
        <v>26</v>
      </c>
      <c r="I45">
        <v>3</v>
      </c>
      <c r="J45">
        <v>8</v>
      </c>
      <c r="K45">
        <v>2003</v>
      </c>
      <c r="L45" t="s">
        <v>27</v>
      </c>
      <c r="M45">
        <v>95</v>
      </c>
      <c r="N45" t="s">
        <v>28</v>
      </c>
      <c r="O45" t="s">
        <v>54</v>
      </c>
      <c r="P45">
        <v>6265557265</v>
      </c>
      <c r="Q45" t="s">
        <v>55</v>
      </c>
      <c r="R45" t="s">
        <v>755</v>
      </c>
      <c r="S45" t="s">
        <v>56</v>
      </c>
      <c r="T45" t="s">
        <v>57</v>
      </c>
      <c r="U45">
        <v>90003</v>
      </c>
      <c r="V45" t="s">
        <v>33</v>
      </c>
      <c r="W45" t="s">
        <v>34</v>
      </c>
      <c r="X45" t="s">
        <v>58</v>
      </c>
      <c r="Y45" t="s">
        <v>59</v>
      </c>
      <c r="Z45" t="s">
        <v>52</v>
      </c>
    </row>
    <row r="46" spans="1:26" x14ac:dyDescent="0.3">
      <c r="A46">
        <v>10146</v>
      </c>
      <c r="B46">
        <v>47</v>
      </c>
      <c r="C46">
        <v>67.14</v>
      </c>
      <c r="D46">
        <v>2</v>
      </c>
      <c r="E46">
        <v>3155.58</v>
      </c>
      <c r="F46" s="2">
        <v>37867</v>
      </c>
      <c r="G46" s="2" t="str">
        <f t="shared" si="0"/>
        <v>Sep</v>
      </c>
      <c r="H46" t="s">
        <v>26</v>
      </c>
      <c r="I46">
        <v>3</v>
      </c>
      <c r="J46">
        <v>9</v>
      </c>
      <c r="K46">
        <v>2003</v>
      </c>
      <c r="L46" t="s">
        <v>27</v>
      </c>
      <c r="M46">
        <v>62</v>
      </c>
      <c r="N46" t="s">
        <v>718</v>
      </c>
      <c r="O46" t="s">
        <v>661</v>
      </c>
      <c r="P46">
        <v>2035554407</v>
      </c>
      <c r="Q46" t="s">
        <v>662</v>
      </c>
      <c r="R46" t="s">
        <v>755</v>
      </c>
      <c r="S46" t="s">
        <v>590</v>
      </c>
      <c r="T46" t="s">
        <v>120</v>
      </c>
      <c r="U46">
        <v>97561</v>
      </c>
      <c r="V46" t="s">
        <v>33</v>
      </c>
      <c r="W46" t="s">
        <v>34</v>
      </c>
      <c r="X46" t="s">
        <v>663</v>
      </c>
      <c r="Y46" t="s">
        <v>664</v>
      </c>
      <c r="Z46" t="s">
        <v>52</v>
      </c>
    </row>
    <row r="47" spans="1:26" x14ac:dyDescent="0.3">
      <c r="A47">
        <v>10147</v>
      </c>
      <c r="B47">
        <v>48</v>
      </c>
      <c r="C47">
        <v>100</v>
      </c>
      <c r="D47">
        <v>7</v>
      </c>
      <c r="E47">
        <v>9245.76</v>
      </c>
      <c r="F47" s="2">
        <v>37869</v>
      </c>
      <c r="G47" s="2" t="str">
        <f t="shared" si="0"/>
        <v>Sep</v>
      </c>
      <c r="H47" t="s">
        <v>26</v>
      </c>
      <c r="I47">
        <v>3</v>
      </c>
      <c r="J47">
        <v>9</v>
      </c>
      <c r="K47">
        <v>2003</v>
      </c>
      <c r="L47" t="s">
        <v>198</v>
      </c>
      <c r="M47">
        <v>194</v>
      </c>
      <c r="N47" t="s">
        <v>480</v>
      </c>
      <c r="O47" t="s">
        <v>313</v>
      </c>
      <c r="P47">
        <v>6175558555</v>
      </c>
      <c r="Q47" t="s">
        <v>314</v>
      </c>
      <c r="R47" t="s">
        <v>755</v>
      </c>
      <c r="S47" t="s">
        <v>315</v>
      </c>
      <c r="T47" t="s">
        <v>133</v>
      </c>
      <c r="U47">
        <v>58339</v>
      </c>
      <c r="V47" t="s">
        <v>33</v>
      </c>
      <c r="W47" t="s">
        <v>34</v>
      </c>
      <c r="X47" t="s">
        <v>304</v>
      </c>
      <c r="Y47" t="s">
        <v>316</v>
      </c>
      <c r="Z47" t="s">
        <v>165</v>
      </c>
    </row>
    <row r="48" spans="1:26" x14ac:dyDescent="0.3">
      <c r="A48">
        <v>10148</v>
      </c>
      <c r="B48">
        <v>23</v>
      </c>
      <c r="C48">
        <v>100</v>
      </c>
      <c r="D48">
        <v>13</v>
      </c>
      <c r="E48">
        <v>2702.04</v>
      </c>
      <c r="F48" s="2">
        <v>37875</v>
      </c>
      <c r="G48" s="2" t="str">
        <f t="shared" si="0"/>
        <v>Sep</v>
      </c>
      <c r="H48" t="s">
        <v>26</v>
      </c>
      <c r="I48">
        <v>3</v>
      </c>
      <c r="J48">
        <v>9</v>
      </c>
      <c r="K48">
        <v>2003</v>
      </c>
      <c r="L48" t="s">
        <v>198</v>
      </c>
      <c r="M48">
        <v>141</v>
      </c>
      <c r="N48" t="s">
        <v>614</v>
      </c>
      <c r="O48" t="s">
        <v>318</v>
      </c>
      <c r="P48" t="s">
        <v>319</v>
      </c>
      <c r="Q48" t="s">
        <v>320</v>
      </c>
      <c r="R48" t="s">
        <v>321</v>
      </c>
      <c r="S48" t="s">
        <v>322</v>
      </c>
      <c r="T48" t="s">
        <v>172</v>
      </c>
      <c r="U48">
        <v>2060</v>
      </c>
      <c r="V48" t="s">
        <v>101</v>
      </c>
      <c r="W48" t="s">
        <v>102</v>
      </c>
      <c r="X48" t="s">
        <v>323</v>
      </c>
      <c r="Y48" t="s">
        <v>324</v>
      </c>
      <c r="Z48" t="s">
        <v>37</v>
      </c>
    </row>
    <row r="49" spans="1:26" x14ac:dyDescent="0.3">
      <c r="A49">
        <v>10149</v>
      </c>
      <c r="B49">
        <v>50</v>
      </c>
      <c r="C49">
        <v>100</v>
      </c>
      <c r="D49">
        <v>4</v>
      </c>
      <c r="E49">
        <v>5907.5</v>
      </c>
      <c r="F49" s="2">
        <v>37876</v>
      </c>
      <c r="G49" s="2" t="str">
        <f t="shared" si="0"/>
        <v>Sep</v>
      </c>
      <c r="H49" t="s">
        <v>26</v>
      </c>
      <c r="I49">
        <v>3</v>
      </c>
      <c r="J49">
        <v>9</v>
      </c>
      <c r="K49">
        <v>2003</v>
      </c>
      <c r="L49" t="s">
        <v>630</v>
      </c>
      <c r="M49">
        <v>102</v>
      </c>
      <c r="N49" t="s">
        <v>631</v>
      </c>
      <c r="O49" t="s">
        <v>602</v>
      </c>
      <c r="P49">
        <v>4155554312</v>
      </c>
      <c r="Q49" t="s">
        <v>603</v>
      </c>
      <c r="R49" t="s">
        <v>755</v>
      </c>
      <c r="S49" t="s">
        <v>604</v>
      </c>
      <c r="T49" t="s">
        <v>57</v>
      </c>
      <c r="U49">
        <v>94217</v>
      </c>
      <c r="V49" t="s">
        <v>33</v>
      </c>
      <c r="W49" t="s">
        <v>34</v>
      </c>
      <c r="X49" t="s">
        <v>605</v>
      </c>
      <c r="Y49" t="s">
        <v>451</v>
      </c>
      <c r="Z49" t="s">
        <v>52</v>
      </c>
    </row>
    <row r="50" spans="1:26" x14ac:dyDescent="0.3">
      <c r="A50">
        <v>10150</v>
      </c>
      <c r="B50">
        <v>45</v>
      </c>
      <c r="C50">
        <v>100</v>
      </c>
      <c r="D50">
        <v>8</v>
      </c>
      <c r="E50">
        <v>10993.5</v>
      </c>
      <c r="F50" s="2">
        <v>37883</v>
      </c>
      <c r="G50" s="2" t="str">
        <f t="shared" si="0"/>
        <v>Sep</v>
      </c>
      <c r="H50" t="s">
        <v>26</v>
      </c>
      <c r="I50">
        <v>3</v>
      </c>
      <c r="J50">
        <v>9</v>
      </c>
      <c r="K50">
        <v>2003</v>
      </c>
      <c r="L50" t="s">
        <v>198</v>
      </c>
      <c r="M50">
        <v>214</v>
      </c>
      <c r="N50" t="s">
        <v>199</v>
      </c>
      <c r="O50" t="s">
        <v>217</v>
      </c>
      <c r="P50" t="s">
        <v>218</v>
      </c>
      <c r="Q50" t="s">
        <v>219</v>
      </c>
      <c r="R50" t="s">
        <v>755</v>
      </c>
      <c r="S50" t="s">
        <v>220</v>
      </c>
      <c r="T50" t="s">
        <v>755</v>
      </c>
      <c r="U50">
        <v>79903</v>
      </c>
      <c r="V50" t="s">
        <v>220</v>
      </c>
      <c r="W50" t="s">
        <v>221</v>
      </c>
      <c r="X50" t="s">
        <v>222</v>
      </c>
      <c r="Y50" t="s">
        <v>223</v>
      </c>
      <c r="Z50" t="s">
        <v>165</v>
      </c>
    </row>
    <row r="51" spans="1:26" x14ac:dyDescent="0.3">
      <c r="A51">
        <v>10151</v>
      </c>
      <c r="B51">
        <v>24</v>
      </c>
      <c r="C51">
        <v>100</v>
      </c>
      <c r="D51">
        <v>3</v>
      </c>
      <c r="E51">
        <v>3327.6</v>
      </c>
      <c r="F51" s="2">
        <v>37885</v>
      </c>
      <c r="G51" s="2" t="str">
        <f t="shared" si="0"/>
        <v>Sep</v>
      </c>
      <c r="H51" t="s">
        <v>26</v>
      </c>
      <c r="I51">
        <v>3</v>
      </c>
      <c r="J51">
        <v>9</v>
      </c>
      <c r="K51">
        <v>2003</v>
      </c>
      <c r="L51" t="s">
        <v>573</v>
      </c>
      <c r="M51">
        <v>118</v>
      </c>
      <c r="N51" t="s">
        <v>594</v>
      </c>
      <c r="O51" t="s">
        <v>440</v>
      </c>
      <c r="P51" t="s">
        <v>441</v>
      </c>
      <c r="Q51" t="s">
        <v>442</v>
      </c>
      <c r="R51" t="s">
        <v>755</v>
      </c>
      <c r="S51" t="s">
        <v>443</v>
      </c>
      <c r="T51" t="s">
        <v>755</v>
      </c>
      <c r="U51">
        <v>90110</v>
      </c>
      <c r="V51" t="s">
        <v>141</v>
      </c>
      <c r="W51" t="s">
        <v>43</v>
      </c>
      <c r="X51" t="s">
        <v>444</v>
      </c>
      <c r="Y51" t="s">
        <v>445</v>
      </c>
      <c r="Z51" t="s">
        <v>52</v>
      </c>
    </row>
    <row r="52" spans="1:26" x14ac:dyDescent="0.3">
      <c r="A52">
        <v>10152</v>
      </c>
      <c r="B52">
        <v>35</v>
      </c>
      <c r="C52">
        <v>100</v>
      </c>
      <c r="D52">
        <v>1</v>
      </c>
      <c r="E52">
        <v>4524.1000000000004</v>
      </c>
      <c r="F52" s="2">
        <v>37889</v>
      </c>
      <c r="G52" s="2" t="str">
        <f t="shared" si="0"/>
        <v>Sep</v>
      </c>
      <c r="H52" t="s">
        <v>26</v>
      </c>
      <c r="I52">
        <v>3</v>
      </c>
      <c r="J52">
        <v>9</v>
      </c>
      <c r="K52">
        <v>2003</v>
      </c>
      <c r="L52" t="s">
        <v>198</v>
      </c>
      <c r="M52">
        <v>143</v>
      </c>
      <c r="N52" t="s">
        <v>723</v>
      </c>
      <c r="O52" t="s">
        <v>229</v>
      </c>
      <c r="P52" t="s">
        <v>230</v>
      </c>
      <c r="Q52" t="s">
        <v>231</v>
      </c>
      <c r="R52" t="s">
        <v>755</v>
      </c>
      <c r="S52" t="s">
        <v>232</v>
      </c>
      <c r="T52" t="s">
        <v>233</v>
      </c>
      <c r="U52">
        <v>4101</v>
      </c>
      <c r="V52" t="s">
        <v>101</v>
      </c>
      <c r="W52" t="s">
        <v>102</v>
      </c>
      <c r="X52" t="s">
        <v>234</v>
      </c>
      <c r="Y52" t="s">
        <v>235</v>
      </c>
      <c r="Z52" t="s">
        <v>52</v>
      </c>
    </row>
    <row r="53" spans="1:26" x14ac:dyDescent="0.3">
      <c r="A53">
        <v>10153</v>
      </c>
      <c r="B53">
        <v>20</v>
      </c>
      <c r="C53">
        <v>100</v>
      </c>
      <c r="D53">
        <v>11</v>
      </c>
      <c r="E53">
        <v>4904</v>
      </c>
      <c r="F53" s="2">
        <v>37892</v>
      </c>
      <c r="G53" s="2" t="str">
        <f t="shared" si="0"/>
        <v>Sep</v>
      </c>
      <c r="H53" t="s">
        <v>26</v>
      </c>
      <c r="I53">
        <v>3</v>
      </c>
      <c r="J53">
        <v>9</v>
      </c>
      <c r="K53">
        <v>2003</v>
      </c>
      <c r="L53" t="s">
        <v>198</v>
      </c>
      <c r="M53">
        <v>207</v>
      </c>
      <c r="N53" t="s">
        <v>536</v>
      </c>
      <c r="O53" t="s">
        <v>190</v>
      </c>
      <c r="P53" t="s">
        <v>191</v>
      </c>
      <c r="Q53" t="s">
        <v>192</v>
      </c>
      <c r="R53" t="s">
        <v>755</v>
      </c>
      <c r="S53" t="s">
        <v>193</v>
      </c>
      <c r="T53" t="s">
        <v>755</v>
      </c>
      <c r="U53">
        <v>28034</v>
      </c>
      <c r="V53" t="s">
        <v>194</v>
      </c>
      <c r="W53" t="s">
        <v>43</v>
      </c>
      <c r="X53" t="s">
        <v>195</v>
      </c>
      <c r="Y53" t="s">
        <v>196</v>
      </c>
      <c r="Z53" t="s">
        <v>52</v>
      </c>
    </row>
    <row r="54" spans="1:26" x14ac:dyDescent="0.3">
      <c r="A54">
        <v>10154</v>
      </c>
      <c r="B54">
        <v>31</v>
      </c>
      <c r="C54">
        <v>91.17</v>
      </c>
      <c r="D54">
        <v>2</v>
      </c>
      <c r="E54">
        <v>2826.27</v>
      </c>
      <c r="F54" s="2">
        <v>37896</v>
      </c>
      <c r="G54" s="2" t="str">
        <f t="shared" si="0"/>
        <v>Oct</v>
      </c>
      <c r="H54" t="s">
        <v>26</v>
      </c>
      <c r="I54">
        <v>4</v>
      </c>
      <c r="J54">
        <v>10</v>
      </c>
      <c r="K54">
        <v>2003</v>
      </c>
      <c r="L54" t="s">
        <v>630</v>
      </c>
      <c r="M54">
        <v>88</v>
      </c>
      <c r="N54" t="s">
        <v>736</v>
      </c>
      <c r="O54" t="s">
        <v>588</v>
      </c>
      <c r="P54">
        <v>3105552373</v>
      </c>
      <c r="Q54" t="s">
        <v>589</v>
      </c>
      <c r="R54" t="s">
        <v>755</v>
      </c>
      <c r="S54" t="s">
        <v>590</v>
      </c>
      <c r="T54" t="s">
        <v>57</v>
      </c>
      <c r="U54">
        <v>92561</v>
      </c>
      <c r="V54" t="s">
        <v>33</v>
      </c>
      <c r="W54" t="s">
        <v>34</v>
      </c>
      <c r="X54" t="s">
        <v>58</v>
      </c>
      <c r="Y54" t="s">
        <v>270</v>
      </c>
      <c r="Z54" t="s">
        <v>37</v>
      </c>
    </row>
    <row r="55" spans="1:26" x14ac:dyDescent="0.3">
      <c r="A55">
        <v>10155</v>
      </c>
      <c r="B55">
        <v>32</v>
      </c>
      <c r="C55">
        <v>100</v>
      </c>
      <c r="D55">
        <v>13</v>
      </c>
      <c r="E55">
        <v>4526.08</v>
      </c>
      <c r="F55" s="2">
        <v>37900</v>
      </c>
      <c r="G55" s="2" t="str">
        <f t="shared" si="0"/>
        <v>Oct</v>
      </c>
      <c r="H55" t="s">
        <v>26</v>
      </c>
      <c r="I55">
        <v>4</v>
      </c>
      <c r="J55">
        <v>10</v>
      </c>
      <c r="K55">
        <v>2003</v>
      </c>
      <c r="L55" t="s">
        <v>198</v>
      </c>
      <c r="M55">
        <v>136</v>
      </c>
      <c r="N55" t="s">
        <v>358</v>
      </c>
      <c r="O55" t="s">
        <v>137</v>
      </c>
      <c r="P55" t="s">
        <v>138</v>
      </c>
      <c r="Q55" t="s">
        <v>139</v>
      </c>
      <c r="R55" t="s">
        <v>755</v>
      </c>
      <c r="S55" t="s">
        <v>140</v>
      </c>
      <c r="T55" t="s">
        <v>755</v>
      </c>
      <c r="U55">
        <v>21240</v>
      </c>
      <c r="V55" t="s">
        <v>141</v>
      </c>
      <c r="W55" t="s">
        <v>43</v>
      </c>
      <c r="X55" t="s">
        <v>142</v>
      </c>
      <c r="Y55" t="s">
        <v>143</v>
      </c>
      <c r="Z55" t="s">
        <v>52</v>
      </c>
    </row>
    <row r="56" spans="1:26" x14ac:dyDescent="0.3">
      <c r="A56">
        <v>10156</v>
      </c>
      <c r="B56">
        <v>20</v>
      </c>
      <c r="C56">
        <v>41.02</v>
      </c>
      <c r="D56">
        <v>1</v>
      </c>
      <c r="E56">
        <v>820.4</v>
      </c>
      <c r="F56" s="2">
        <v>37902</v>
      </c>
      <c r="G56" s="2" t="str">
        <f t="shared" si="0"/>
        <v>Oct</v>
      </c>
      <c r="H56" t="s">
        <v>26</v>
      </c>
      <c r="I56">
        <v>4</v>
      </c>
      <c r="J56">
        <v>10</v>
      </c>
      <c r="K56">
        <v>2003</v>
      </c>
      <c r="L56" t="s">
        <v>630</v>
      </c>
      <c r="M56">
        <v>43</v>
      </c>
      <c r="N56" t="s">
        <v>748</v>
      </c>
      <c r="O56" t="s">
        <v>190</v>
      </c>
      <c r="P56" t="s">
        <v>191</v>
      </c>
      <c r="Q56" t="s">
        <v>192</v>
      </c>
      <c r="R56" t="s">
        <v>755</v>
      </c>
      <c r="S56" t="s">
        <v>193</v>
      </c>
      <c r="T56" t="s">
        <v>755</v>
      </c>
      <c r="U56">
        <v>28034</v>
      </c>
      <c r="V56" t="s">
        <v>194</v>
      </c>
      <c r="W56" t="s">
        <v>43</v>
      </c>
      <c r="X56" t="s">
        <v>195</v>
      </c>
      <c r="Y56" t="s">
        <v>196</v>
      </c>
      <c r="Z56" t="s">
        <v>37</v>
      </c>
    </row>
    <row r="57" spans="1:26" x14ac:dyDescent="0.3">
      <c r="A57">
        <v>10158</v>
      </c>
      <c r="B57">
        <v>22</v>
      </c>
      <c r="C57">
        <v>67.03</v>
      </c>
      <c r="D57">
        <v>1</v>
      </c>
      <c r="E57">
        <v>1474.66</v>
      </c>
      <c r="F57" s="2">
        <v>37904</v>
      </c>
      <c r="G57" s="2" t="str">
        <f t="shared" si="0"/>
        <v>Oct</v>
      </c>
      <c r="H57" t="s">
        <v>26</v>
      </c>
      <c r="I57">
        <v>4</v>
      </c>
      <c r="J57">
        <v>10</v>
      </c>
      <c r="K57">
        <v>2003</v>
      </c>
      <c r="L57" t="s">
        <v>27</v>
      </c>
      <c r="M57">
        <v>76</v>
      </c>
      <c r="N57" t="s">
        <v>729</v>
      </c>
      <c r="O57" t="s">
        <v>145</v>
      </c>
      <c r="P57" t="s">
        <v>146</v>
      </c>
      <c r="Q57" t="s">
        <v>147</v>
      </c>
      <c r="R57" t="s">
        <v>755</v>
      </c>
      <c r="S57" t="s">
        <v>148</v>
      </c>
      <c r="T57" t="s">
        <v>755</v>
      </c>
      <c r="U57">
        <v>4110</v>
      </c>
      <c r="V57" t="s">
        <v>82</v>
      </c>
      <c r="W57" t="s">
        <v>43</v>
      </c>
      <c r="X57" t="s">
        <v>149</v>
      </c>
      <c r="Y57" t="s">
        <v>150</v>
      </c>
      <c r="Z57" t="s">
        <v>37</v>
      </c>
    </row>
    <row r="58" spans="1:26" x14ac:dyDescent="0.3">
      <c r="A58">
        <v>10159</v>
      </c>
      <c r="B58">
        <v>49</v>
      </c>
      <c r="C58">
        <v>100</v>
      </c>
      <c r="D58">
        <v>14</v>
      </c>
      <c r="E58">
        <v>5205.2700000000004</v>
      </c>
      <c r="F58" s="2">
        <v>37904</v>
      </c>
      <c r="G58" s="2" t="str">
        <f t="shared" si="0"/>
        <v>Oct</v>
      </c>
      <c r="H58" t="s">
        <v>26</v>
      </c>
      <c r="I58">
        <v>4</v>
      </c>
      <c r="J58">
        <v>10</v>
      </c>
      <c r="K58">
        <v>2003</v>
      </c>
      <c r="L58" t="s">
        <v>27</v>
      </c>
      <c r="M58">
        <v>95</v>
      </c>
      <c r="N58" t="s">
        <v>28</v>
      </c>
      <c r="O58" t="s">
        <v>60</v>
      </c>
      <c r="P58">
        <v>6505551386</v>
      </c>
      <c r="Q58" t="s">
        <v>61</v>
      </c>
      <c r="R58" t="s">
        <v>755</v>
      </c>
      <c r="S58" t="s">
        <v>62</v>
      </c>
      <c r="T58" t="s">
        <v>57</v>
      </c>
      <c r="U58" t="s">
        <v>755</v>
      </c>
      <c r="V58" t="s">
        <v>33</v>
      </c>
      <c r="W58" t="s">
        <v>34</v>
      </c>
      <c r="X58" t="s">
        <v>63</v>
      </c>
      <c r="Y58" t="s">
        <v>59</v>
      </c>
      <c r="Z58" t="s">
        <v>52</v>
      </c>
    </row>
    <row r="59" spans="1:26" x14ac:dyDescent="0.3">
      <c r="A59">
        <v>10160</v>
      </c>
      <c r="B59">
        <v>46</v>
      </c>
      <c r="C59">
        <v>100</v>
      </c>
      <c r="D59">
        <v>6</v>
      </c>
      <c r="E59">
        <v>5294.14</v>
      </c>
      <c r="F59" s="2">
        <v>37905</v>
      </c>
      <c r="G59" s="2" t="str">
        <f t="shared" si="0"/>
        <v>Oct</v>
      </c>
      <c r="H59" t="s">
        <v>26</v>
      </c>
      <c r="I59">
        <v>4</v>
      </c>
      <c r="J59">
        <v>10</v>
      </c>
      <c r="K59">
        <v>2003</v>
      </c>
      <c r="L59" t="s">
        <v>198</v>
      </c>
      <c r="M59">
        <v>117</v>
      </c>
      <c r="N59" t="s">
        <v>586</v>
      </c>
      <c r="O59" t="s">
        <v>399</v>
      </c>
      <c r="P59">
        <v>2155554369</v>
      </c>
      <c r="Q59" t="s">
        <v>400</v>
      </c>
      <c r="R59" t="s">
        <v>755</v>
      </c>
      <c r="S59" t="s">
        <v>401</v>
      </c>
      <c r="T59" t="s">
        <v>57</v>
      </c>
      <c r="U59" t="s">
        <v>755</v>
      </c>
      <c r="V59" t="s">
        <v>33</v>
      </c>
      <c r="W59" t="s">
        <v>34</v>
      </c>
      <c r="X59" t="s">
        <v>402</v>
      </c>
      <c r="Y59" t="s">
        <v>109</v>
      </c>
      <c r="Z59" t="s">
        <v>52</v>
      </c>
    </row>
    <row r="60" spans="1:26" x14ac:dyDescent="0.3">
      <c r="A60">
        <v>10161</v>
      </c>
      <c r="B60">
        <v>28</v>
      </c>
      <c r="C60">
        <v>100</v>
      </c>
      <c r="D60">
        <v>12</v>
      </c>
      <c r="E60">
        <v>3764.88</v>
      </c>
      <c r="F60" s="2">
        <v>37911</v>
      </c>
      <c r="G60" s="2" t="str">
        <f t="shared" si="0"/>
        <v>Oct</v>
      </c>
      <c r="H60" t="s">
        <v>26</v>
      </c>
      <c r="I60">
        <v>4</v>
      </c>
      <c r="J60">
        <v>10</v>
      </c>
      <c r="K60">
        <v>2003</v>
      </c>
      <c r="L60" t="s">
        <v>198</v>
      </c>
      <c r="M60">
        <v>141</v>
      </c>
      <c r="N60" t="s">
        <v>614</v>
      </c>
      <c r="O60" t="s">
        <v>564</v>
      </c>
      <c r="P60" t="s">
        <v>565</v>
      </c>
      <c r="Q60" t="s">
        <v>566</v>
      </c>
      <c r="R60" t="s">
        <v>755</v>
      </c>
      <c r="S60" t="s">
        <v>567</v>
      </c>
      <c r="T60" t="s">
        <v>755</v>
      </c>
      <c r="U60">
        <v>8200</v>
      </c>
      <c r="V60" t="s">
        <v>363</v>
      </c>
      <c r="W60" t="s">
        <v>43</v>
      </c>
      <c r="X60" t="s">
        <v>568</v>
      </c>
      <c r="Y60" t="s">
        <v>569</v>
      </c>
      <c r="Z60" t="s">
        <v>52</v>
      </c>
    </row>
    <row r="61" spans="1:26" x14ac:dyDescent="0.3">
      <c r="A61">
        <v>10162</v>
      </c>
      <c r="B61">
        <v>48</v>
      </c>
      <c r="C61">
        <v>91.44</v>
      </c>
      <c r="D61">
        <v>2</v>
      </c>
      <c r="E61">
        <v>4389.12</v>
      </c>
      <c r="F61" s="2">
        <v>37912</v>
      </c>
      <c r="G61" s="2" t="str">
        <f t="shared" si="0"/>
        <v>Oct</v>
      </c>
      <c r="H61" t="s">
        <v>26</v>
      </c>
      <c r="I61">
        <v>4</v>
      </c>
      <c r="J61">
        <v>10</v>
      </c>
      <c r="K61">
        <v>2003</v>
      </c>
      <c r="L61" t="s">
        <v>630</v>
      </c>
      <c r="M61">
        <v>102</v>
      </c>
      <c r="N61" t="s">
        <v>631</v>
      </c>
      <c r="O61" t="s">
        <v>60</v>
      </c>
      <c r="P61">
        <v>6505551386</v>
      </c>
      <c r="Q61" t="s">
        <v>61</v>
      </c>
      <c r="R61" t="s">
        <v>755</v>
      </c>
      <c r="S61" t="s">
        <v>62</v>
      </c>
      <c r="T61" t="s">
        <v>57</v>
      </c>
      <c r="U61" t="s">
        <v>755</v>
      </c>
      <c r="V61" t="s">
        <v>33</v>
      </c>
      <c r="W61" t="s">
        <v>34</v>
      </c>
      <c r="X61" t="s">
        <v>63</v>
      </c>
      <c r="Y61" t="s">
        <v>59</v>
      </c>
      <c r="Z61" t="s">
        <v>52</v>
      </c>
    </row>
    <row r="62" spans="1:26" x14ac:dyDescent="0.3">
      <c r="A62">
        <v>10163</v>
      </c>
      <c r="B62">
        <v>21</v>
      </c>
      <c r="C62">
        <v>100</v>
      </c>
      <c r="D62">
        <v>1</v>
      </c>
      <c r="E62">
        <v>4860.24</v>
      </c>
      <c r="F62" s="2">
        <v>37914</v>
      </c>
      <c r="G62" s="2" t="str">
        <f t="shared" si="0"/>
        <v>Oct</v>
      </c>
      <c r="H62" t="s">
        <v>26</v>
      </c>
      <c r="I62">
        <v>4</v>
      </c>
      <c r="J62">
        <v>10</v>
      </c>
      <c r="K62">
        <v>2003</v>
      </c>
      <c r="L62" t="s">
        <v>198</v>
      </c>
      <c r="M62">
        <v>214</v>
      </c>
      <c r="N62" t="s">
        <v>199</v>
      </c>
      <c r="O62" t="s">
        <v>225</v>
      </c>
      <c r="P62">
        <v>2125558493</v>
      </c>
      <c r="Q62" t="s">
        <v>226</v>
      </c>
      <c r="R62" t="s">
        <v>227</v>
      </c>
      <c r="S62" t="s">
        <v>31</v>
      </c>
      <c r="T62" t="s">
        <v>32</v>
      </c>
      <c r="U62">
        <v>10022</v>
      </c>
      <c r="V62" t="s">
        <v>33</v>
      </c>
      <c r="W62" t="s">
        <v>34</v>
      </c>
      <c r="X62" t="s">
        <v>134</v>
      </c>
      <c r="Y62" t="s">
        <v>228</v>
      </c>
      <c r="Z62" t="s">
        <v>52</v>
      </c>
    </row>
    <row r="63" spans="1:26" x14ac:dyDescent="0.3">
      <c r="A63">
        <v>10164</v>
      </c>
      <c r="B63">
        <v>21</v>
      </c>
      <c r="C63">
        <v>100</v>
      </c>
      <c r="D63">
        <v>2</v>
      </c>
      <c r="E63">
        <v>3536.82</v>
      </c>
      <c r="F63" s="2">
        <v>37915</v>
      </c>
      <c r="G63" s="2" t="str">
        <f t="shared" si="0"/>
        <v>Oct</v>
      </c>
      <c r="H63" t="s">
        <v>460</v>
      </c>
      <c r="I63">
        <v>4</v>
      </c>
      <c r="J63">
        <v>10</v>
      </c>
      <c r="K63">
        <v>2003</v>
      </c>
      <c r="L63" t="s">
        <v>198</v>
      </c>
      <c r="M63">
        <v>147</v>
      </c>
      <c r="N63" t="s">
        <v>453</v>
      </c>
      <c r="O63" t="s">
        <v>461</v>
      </c>
      <c r="P63" t="s">
        <v>462</v>
      </c>
      <c r="Q63" t="s">
        <v>463</v>
      </c>
      <c r="R63" t="s">
        <v>755</v>
      </c>
      <c r="S63" t="s">
        <v>464</v>
      </c>
      <c r="T63" t="s">
        <v>755</v>
      </c>
      <c r="U63">
        <v>8010</v>
      </c>
      <c r="V63" t="s">
        <v>162</v>
      </c>
      <c r="W63" t="s">
        <v>43</v>
      </c>
      <c r="X63" t="s">
        <v>465</v>
      </c>
      <c r="Y63" t="s">
        <v>466</v>
      </c>
      <c r="Z63" t="s">
        <v>52</v>
      </c>
    </row>
    <row r="64" spans="1:26" x14ac:dyDescent="0.3">
      <c r="A64">
        <v>10165</v>
      </c>
      <c r="B64">
        <v>44</v>
      </c>
      <c r="C64">
        <v>100</v>
      </c>
      <c r="D64">
        <v>3</v>
      </c>
      <c r="E64">
        <v>8594.52</v>
      </c>
      <c r="F64" s="2">
        <v>37916</v>
      </c>
      <c r="G64" s="2" t="str">
        <f t="shared" si="0"/>
        <v>Oct</v>
      </c>
      <c r="H64" t="s">
        <v>26</v>
      </c>
      <c r="I64">
        <v>4</v>
      </c>
      <c r="J64">
        <v>10</v>
      </c>
      <c r="K64">
        <v>2003</v>
      </c>
      <c r="L64" t="s">
        <v>198</v>
      </c>
      <c r="M64">
        <v>207</v>
      </c>
      <c r="N64" t="s">
        <v>536</v>
      </c>
      <c r="O64" t="s">
        <v>217</v>
      </c>
      <c r="P64" t="s">
        <v>218</v>
      </c>
      <c r="Q64" t="s">
        <v>219</v>
      </c>
      <c r="R64" t="s">
        <v>755</v>
      </c>
      <c r="S64" t="s">
        <v>220</v>
      </c>
      <c r="T64" t="s">
        <v>755</v>
      </c>
      <c r="U64">
        <v>79903</v>
      </c>
      <c r="V64" t="s">
        <v>220</v>
      </c>
      <c r="W64" t="s">
        <v>221</v>
      </c>
      <c r="X64" t="s">
        <v>222</v>
      </c>
      <c r="Y64" t="s">
        <v>223</v>
      </c>
      <c r="Z64" t="s">
        <v>165</v>
      </c>
    </row>
    <row r="65" spans="1:26" x14ac:dyDescent="0.3">
      <c r="A65">
        <v>10166</v>
      </c>
      <c r="B65">
        <v>43</v>
      </c>
      <c r="C65">
        <v>100</v>
      </c>
      <c r="D65">
        <v>2</v>
      </c>
      <c r="E65">
        <v>6930.74</v>
      </c>
      <c r="F65" s="2">
        <v>37915</v>
      </c>
      <c r="G65" s="2" t="str">
        <f t="shared" si="0"/>
        <v>Oct</v>
      </c>
      <c r="H65" t="s">
        <v>26</v>
      </c>
      <c r="I65">
        <v>4</v>
      </c>
      <c r="J65">
        <v>10</v>
      </c>
      <c r="K65">
        <v>2003</v>
      </c>
      <c r="L65" t="s">
        <v>630</v>
      </c>
      <c r="M65">
        <v>136</v>
      </c>
      <c r="N65" t="s">
        <v>706</v>
      </c>
      <c r="O65" t="s">
        <v>175</v>
      </c>
      <c r="P65">
        <v>5085552555</v>
      </c>
      <c r="Q65" t="s">
        <v>176</v>
      </c>
      <c r="R65" t="s">
        <v>755</v>
      </c>
      <c r="S65" t="s">
        <v>177</v>
      </c>
      <c r="T65" t="s">
        <v>133</v>
      </c>
      <c r="U65">
        <v>50553</v>
      </c>
      <c r="V65" t="s">
        <v>33</v>
      </c>
      <c r="W65" t="s">
        <v>34</v>
      </c>
      <c r="X65" t="s">
        <v>178</v>
      </c>
      <c r="Y65" t="s">
        <v>179</v>
      </c>
      <c r="Z65" t="s">
        <v>52</v>
      </c>
    </row>
    <row r="66" spans="1:26" x14ac:dyDescent="0.3">
      <c r="A66">
        <v>10167</v>
      </c>
      <c r="B66">
        <v>44</v>
      </c>
      <c r="C66">
        <v>100</v>
      </c>
      <c r="D66">
        <v>9</v>
      </c>
      <c r="E66">
        <v>5924.16</v>
      </c>
      <c r="F66" s="2">
        <v>37917</v>
      </c>
      <c r="G66" s="2" t="str">
        <f t="shared" ref="G66:G129" si="1">TEXT(F66,"MMM")</f>
        <v>Oct</v>
      </c>
      <c r="H66" t="s">
        <v>378</v>
      </c>
      <c r="I66">
        <v>4</v>
      </c>
      <c r="J66">
        <v>10</v>
      </c>
      <c r="K66">
        <v>2003</v>
      </c>
      <c r="L66" t="s">
        <v>198</v>
      </c>
      <c r="M66">
        <v>136</v>
      </c>
      <c r="N66" t="s">
        <v>358</v>
      </c>
      <c r="O66" t="s">
        <v>289</v>
      </c>
      <c r="P66" t="s">
        <v>290</v>
      </c>
      <c r="Q66" t="s">
        <v>291</v>
      </c>
      <c r="R66" t="s">
        <v>755</v>
      </c>
      <c r="S66" t="s">
        <v>292</v>
      </c>
      <c r="T66" t="s">
        <v>755</v>
      </c>
      <c r="U66" t="s">
        <v>293</v>
      </c>
      <c r="V66" t="s">
        <v>206</v>
      </c>
      <c r="W66" t="s">
        <v>43</v>
      </c>
      <c r="X66" t="s">
        <v>294</v>
      </c>
      <c r="Y66" t="s">
        <v>228</v>
      </c>
      <c r="Z66" t="s">
        <v>52</v>
      </c>
    </row>
    <row r="67" spans="1:26" x14ac:dyDescent="0.3">
      <c r="A67">
        <v>10168</v>
      </c>
      <c r="B67">
        <v>36</v>
      </c>
      <c r="C67">
        <v>96.66</v>
      </c>
      <c r="D67">
        <v>1</v>
      </c>
      <c r="E67">
        <v>3479.76</v>
      </c>
      <c r="F67" s="2">
        <v>37922</v>
      </c>
      <c r="G67" s="2" t="str">
        <f t="shared" si="1"/>
        <v>Oct</v>
      </c>
      <c r="H67" t="s">
        <v>26</v>
      </c>
      <c r="I67">
        <v>4</v>
      </c>
      <c r="J67">
        <v>10</v>
      </c>
      <c r="K67">
        <v>2003</v>
      </c>
      <c r="L67" t="s">
        <v>27</v>
      </c>
      <c r="M67">
        <v>95</v>
      </c>
      <c r="N67" t="s">
        <v>28</v>
      </c>
      <c r="O67" t="s">
        <v>65</v>
      </c>
      <c r="P67">
        <v>6505556809</v>
      </c>
      <c r="Q67" t="s">
        <v>66</v>
      </c>
      <c r="R67" t="s">
        <v>755</v>
      </c>
      <c r="S67" t="s">
        <v>67</v>
      </c>
      <c r="T67" t="s">
        <v>57</v>
      </c>
      <c r="U67">
        <v>94217</v>
      </c>
      <c r="V67" t="s">
        <v>33</v>
      </c>
      <c r="W67" t="s">
        <v>34</v>
      </c>
      <c r="X67" t="s">
        <v>68</v>
      </c>
      <c r="Y67" t="s">
        <v>69</v>
      </c>
      <c r="Z67" t="s">
        <v>52</v>
      </c>
    </row>
    <row r="68" spans="1:26" x14ac:dyDescent="0.3">
      <c r="A68">
        <v>10169</v>
      </c>
      <c r="B68">
        <v>30</v>
      </c>
      <c r="C68">
        <v>100</v>
      </c>
      <c r="D68">
        <v>2</v>
      </c>
      <c r="E68">
        <v>5019.8999999999996</v>
      </c>
      <c r="F68" s="2">
        <v>37929</v>
      </c>
      <c r="G68" s="2" t="str">
        <f t="shared" si="1"/>
        <v>Nov</v>
      </c>
      <c r="H68" t="s">
        <v>26</v>
      </c>
      <c r="I68">
        <v>4</v>
      </c>
      <c r="J68">
        <v>11</v>
      </c>
      <c r="K68">
        <v>2003</v>
      </c>
      <c r="L68" t="s">
        <v>198</v>
      </c>
      <c r="M68">
        <v>194</v>
      </c>
      <c r="N68" t="s">
        <v>480</v>
      </c>
      <c r="O68" t="s">
        <v>318</v>
      </c>
      <c r="P68" t="s">
        <v>319</v>
      </c>
      <c r="Q68" t="s">
        <v>320</v>
      </c>
      <c r="R68" t="s">
        <v>321</v>
      </c>
      <c r="S68" t="s">
        <v>322</v>
      </c>
      <c r="T68" t="s">
        <v>172</v>
      </c>
      <c r="U68">
        <v>2060</v>
      </c>
      <c r="V68" t="s">
        <v>101</v>
      </c>
      <c r="W68" t="s">
        <v>102</v>
      </c>
      <c r="X68" t="s">
        <v>323</v>
      </c>
      <c r="Y68" t="s">
        <v>324</v>
      </c>
      <c r="Z68" t="s">
        <v>52</v>
      </c>
    </row>
    <row r="69" spans="1:26" x14ac:dyDescent="0.3">
      <c r="A69">
        <v>10170</v>
      </c>
      <c r="B69">
        <v>47</v>
      </c>
      <c r="C69">
        <v>100</v>
      </c>
      <c r="D69">
        <v>4</v>
      </c>
      <c r="E69">
        <v>5464.69</v>
      </c>
      <c r="F69" s="2">
        <v>37929</v>
      </c>
      <c r="G69" s="2" t="str">
        <f t="shared" si="1"/>
        <v>Nov</v>
      </c>
      <c r="H69" t="s">
        <v>26</v>
      </c>
      <c r="I69">
        <v>4</v>
      </c>
      <c r="J69">
        <v>11</v>
      </c>
      <c r="K69">
        <v>2003</v>
      </c>
      <c r="L69" t="s">
        <v>198</v>
      </c>
      <c r="M69">
        <v>117</v>
      </c>
      <c r="N69" t="s">
        <v>586</v>
      </c>
      <c r="O69" t="s">
        <v>461</v>
      </c>
      <c r="P69" t="s">
        <v>462</v>
      </c>
      <c r="Q69" t="s">
        <v>463</v>
      </c>
      <c r="R69" t="s">
        <v>755</v>
      </c>
      <c r="S69" t="s">
        <v>464</v>
      </c>
      <c r="T69" t="s">
        <v>755</v>
      </c>
      <c r="U69">
        <v>8010</v>
      </c>
      <c r="V69" t="s">
        <v>162</v>
      </c>
      <c r="W69" t="s">
        <v>43</v>
      </c>
      <c r="X69" t="s">
        <v>465</v>
      </c>
      <c r="Y69" t="s">
        <v>466</v>
      </c>
      <c r="Z69" t="s">
        <v>52</v>
      </c>
    </row>
    <row r="70" spans="1:26" x14ac:dyDescent="0.3">
      <c r="A70">
        <v>10171</v>
      </c>
      <c r="B70">
        <v>35</v>
      </c>
      <c r="C70">
        <v>100</v>
      </c>
      <c r="D70">
        <v>2</v>
      </c>
      <c r="E70">
        <v>4508</v>
      </c>
      <c r="F70" s="2">
        <v>37930</v>
      </c>
      <c r="G70" s="2" t="str">
        <f t="shared" si="1"/>
        <v>Nov</v>
      </c>
      <c r="H70" t="s">
        <v>26</v>
      </c>
      <c r="I70">
        <v>4</v>
      </c>
      <c r="J70">
        <v>11</v>
      </c>
      <c r="K70">
        <v>2003</v>
      </c>
      <c r="L70" t="s">
        <v>198</v>
      </c>
      <c r="M70">
        <v>141</v>
      </c>
      <c r="N70" t="s">
        <v>614</v>
      </c>
      <c r="O70" t="s">
        <v>325</v>
      </c>
      <c r="P70" t="s">
        <v>326</v>
      </c>
      <c r="Q70" t="s">
        <v>327</v>
      </c>
      <c r="R70" t="s">
        <v>755</v>
      </c>
      <c r="S70" t="s">
        <v>328</v>
      </c>
      <c r="T70" t="s">
        <v>329</v>
      </c>
      <c r="U70" t="s">
        <v>330</v>
      </c>
      <c r="V70" t="s">
        <v>255</v>
      </c>
      <c r="W70" t="s">
        <v>34</v>
      </c>
      <c r="X70" t="s">
        <v>331</v>
      </c>
      <c r="Y70" t="s">
        <v>332</v>
      </c>
      <c r="Z70" t="s">
        <v>52</v>
      </c>
    </row>
    <row r="71" spans="1:26" x14ac:dyDescent="0.3">
      <c r="A71">
        <v>10172</v>
      </c>
      <c r="B71">
        <v>42</v>
      </c>
      <c r="C71">
        <v>100</v>
      </c>
      <c r="D71">
        <v>6</v>
      </c>
      <c r="E71">
        <v>4965.24</v>
      </c>
      <c r="F71" s="2">
        <v>37930</v>
      </c>
      <c r="G71" s="2" t="str">
        <f t="shared" si="1"/>
        <v>Nov</v>
      </c>
      <c r="H71" t="s">
        <v>26</v>
      </c>
      <c r="I71">
        <v>4</v>
      </c>
      <c r="J71">
        <v>11</v>
      </c>
      <c r="K71">
        <v>2003</v>
      </c>
      <c r="L71" t="s">
        <v>198</v>
      </c>
      <c r="M71">
        <v>124</v>
      </c>
      <c r="N71" t="s">
        <v>653</v>
      </c>
      <c r="O71" t="s">
        <v>117</v>
      </c>
      <c r="P71">
        <v>2035552570</v>
      </c>
      <c r="Q71" t="s">
        <v>118</v>
      </c>
      <c r="R71" t="s">
        <v>755</v>
      </c>
      <c r="S71" t="s">
        <v>119</v>
      </c>
      <c r="T71" t="s">
        <v>120</v>
      </c>
      <c r="U71">
        <v>97562</v>
      </c>
      <c r="V71" t="s">
        <v>33</v>
      </c>
      <c r="W71" t="s">
        <v>34</v>
      </c>
      <c r="X71" t="s">
        <v>121</v>
      </c>
      <c r="Y71" t="s">
        <v>59</v>
      </c>
      <c r="Z71" t="s">
        <v>52</v>
      </c>
    </row>
    <row r="72" spans="1:26" x14ac:dyDescent="0.3">
      <c r="A72">
        <v>10173</v>
      </c>
      <c r="B72">
        <v>43</v>
      </c>
      <c r="C72">
        <v>100</v>
      </c>
      <c r="D72">
        <v>6</v>
      </c>
      <c r="E72">
        <v>5036.16</v>
      </c>
      <c r="F72" s="2">
        <v>37930</v>
      </c>
      <c r="G72" s="2" t="str">
        <f t="shared" si="1"/>
        <v>Nov</v>
      </c>
      <c r="H72" t="s">
        <v>26</v>
      </c>
      <c r="I72">
        <v>4</v>
      </c>
      <c r="J72">
        <v>11</v>
      </c>
      <c r="K72">
        <v>2003</v>
      </c>
      <c r="L72" t="s">
        <v>630</v>
      </c>
      <c r="M72">
        <v>102</v>
      </c>
      <c r="N72" t="s">
        <v>631</v>
      </c>
      <c r="O72" t="s">
        <v>636</v>
      </c>
      <c r="P72" t="s">
        <v>637</v>
      </c>
      <c r="Q72" t="s">
        <v>638</v>
      </c>
      <c r="R72" t="s">
        <v>755</v>
      </c>
      <c r="S72" t="s">
        <v>639</v>
      </c>
      <c r="T72" t="s">
        <v>755</v>
      </c>
      <c r="U72">
        <v>24100</v>
      </c>
      <c r="V72" t="s">
        <v>286</v>
      </c>
      <c r="W72" t="s">
        <v>43</v>
      </c>
      <c r="X72" t="s">
        <v>640</v>
      </c>
      <c r="Y72" t="s">
        <v>641</v>
      </c>
      <c r="Z72" t="s">
        <v>52</v>
      </c>
    </row>
    <row r="73" spans="1:26" x14ac:dyDescent="0.3">
      <c r="A73">
        <v>10174</v>
      </c>
      <c r="B73">
        <v>34</v>
      </c>
      <c r="C73">
        <v>100</v>
      </c>
      <c r="D73">
        <v>4</v>
      </c>
      <c r="E73">
        <v>8014.82</v>
      </c>
      <c r="F73" s="2">
        <v>37931</v>
      </c>
      <c r="G73" s="2" t="str">
        <f t="shared" si="1"/>
        <v>Nov</v>
      </c>
      <c r="H73" t="s">
        <v>26</v>
      </c>
      <c r="I73">
        <v>4</v>
      </c>
      <c r="J73">
        <v>11</v>
      </c>
      <c r="K73">
        <v>2003</v>
      </c>
      <c r="L73" t="s">
        <v>198</v>
      </c>
      <c r="M73">
        <v>214</v>
      </c>
      <c r="N73" t="s">
        <v>199</v>
      </c>
      <c r="O73" t="s">
        <v>229</v>
      </c>
      <c r="P73" t="s">
        <v>230</v>
      </c>
      <c r="Q73" t="s">
        <v>231</v>
      </c>
      <c r="R73" t="s">
        <v>755</v>
      </c>
      <c r="S73" t="s">
        <v>232</v>
      </c>
      <c r="T73" t="s">
        <v>233</v>
      </c>
      <c r="U73">
        <v>4101</v>
      </c>
      <c r="V73" t="s">
        <v>101</v>
      </c>
      <c r="W73" t="s">
        <v>102</v>
      </c>
      <c r="X73" t="s">
        <v>234</v>
      </c>
      <c r="Y73" t="s">
        <v>235</v>
      </c>
      <c r="Z73" t="s">
        <v>165</v>
      </c>
    </row>
    <row r="74" spans="1:26" x14ac:dyDescent="0.3">
      <c r="A74">
        <v>10175</v>
      </c>
      <c r="B74">
        <v>33</v>
      </c>
      <c r="C74">
        <v>100</v>
      </c>
      <c r="D74">
        <v>9</v>
      </c>
      <c r="E74">
        <v>5362.83</v>
      </c>
      <c r="F74" s="2">
        <v>37931</v>
      </c>
      <c r="G74" s="2" t="str">
        <f t="shared" si="1"/>
        <v>Nov</v>
      </c>
      <c r="H74" t="s">
        <v>26</v>
      </c>
      <c r="I74">
        <v>4</v>
      </c>
      <c r="J74">
        <v>11</v>
      </c>
      <c r="K74">
        <v>2003</v>
      </c>
      <c r="L74" t="s">
        <v>198</v>
      </c>
      <c r="M74">
        <v>147</v>
      </c>
      <c r="N74" t="s">
        <v>453</v>
      </c>
      <c r="O74" t="s">
        <v>367</v>
      </c>
      <c r="P74" t="s">
        <v>368</v>
      </c>
      <c r="Q74" t="s">
        <v>369</v>
      </c>
      <c r="R74" t="s">
        <v>755</v>
      </c>
      <c r="S74" t="s">
        <v>370</v>
      </c>
      <c r="T74" t="s">
        <v>755</v>
      </c>
      <c r="U74" t="s">
        <v>371</v>
      </c>
      <c r="V74" t="s">
        <v>185</v>
      </c>
      <c r="W74" t="s">
        <v>43</v>
      </c>
      <c r="X74" t="s">
        <v>63</v>
      </c>
      <c r="Y74" t="s">
        <v>372</v>
      </c>
      <c r="Z74" t="s">
        <v>52</v>
      </c>
    </row>
    <row r="75" spans="1:26" x14ac:dyDescent="0.3">
      <c r="A75">
        <v>10176</v>
      </c>
      <c r="B75">
        <v>33</v>
      </c>
      <c r="C75">
        <v>100</v>
      </c>
      <c r="D75">
        <v>2</v>
      </c>
      <c r="E75">
        <v>7474.5</v>
      </c>
      <c r="F75" s="2">
        <v>37931</v>
      </c>
      <c r="G75" s="2" t="str">
        <f t="shared" si="1"/>
        <v>Nov</v>
      </c>
      <c r="H75" t="s">
        <v>26</v>
      </c>
      <c r="I75">
        <v>4</v>
      </c>
      <c r="J75">
        <v>11</v>
      </c>
      <c r="K75">
        <v>2003</v>
      </c>
      <c r="L75" t="s">
        <v>198</v>
      </c>
      <c r="M75">
        <v>207</v>
      </c>
      <c r="N75" t="s">
        <v>536</v>
      </c>
      <c r="O75" t="s">
        <v>510</v>
      </c>
      <c r="P75" t="s">
        <v>511</v>
      </c>
      <c r="Q75" t="s">
        <v>512</v>
      </c>
      <c r="R75" t="s">
        <v>755</v>
      </c>
      <c r="S75" t="s">
        <v>513</v>
      </c>
      <c r="T75" t="s">
        <v>755</v>
      </c>
      <c r="U75">
        <v>42100</v>
      </c>
      <c r="V75" t="s">
        <v>286</v>
      </c>
      <c r="W75" t="s">
        <v>43</v>
      </c>
      <c r="X75" t="s">
        <v>514</v>
      </c>
      <c r="Y75" t="s">
        <v>515</v>
      </c>
      <c r="Z75" t="s">
        <v>165</v>
      </c>
    </row>
    <row r="76" spans="1:26" x14ac:dyDescent="0.3">
      <c r="A76">
        <v>10177</v>
      </c>
      <c r="B76">
        <v>23</v>
      </c>
      <c r="C76">
        <v>100</v>
      </c>
      <c r="D76">
        <v>9</v>
      </c>
      <c r="E76">
        <v>3675.63</v>
      </c>
      <c r="F76" s="2">
        <v>37932</v>
      </c>
      <c r="G76" s="2" t="str">
        <f t="shared" si="1"/>
        <v>Nov</v>
      </c>
      <c r="H76" t="s">
        <v>26</v>
      </c>
      <c r="I76">
        <v>4</v>
      </c>
      <c r="J76">
        <v>11</v>
      </c>
      <c r="K76">
        <v>2003</v>
      </c>
      <c r="L76" t="s">
        <v>630</v>
      </c>
      <c r="M76">
        <v>136</v>
      </c>
      <c r="N76" t="s">
        <v>706</v>
      </c>
      <c r="O76" t="s">
        <v>552</v>
      </c>
      <c r="P76" t="s">
        <v>553</v>
      </c>
      <c r="Q76" t="s">
        <v>554</v>
      </c>
      <c r="R76" t="s">
        <v>755</v>
      </c>
      <c r="S76" t="s">
        <v>193</v>
      </c>
      <c r="T76" t="s">
        <v>755</v>
      </c>
      <c r="U76">
        <v>28023</v>
      </c>
      <c r="V76" t="s">
        <v>194</v>
      </c>
      <c r="W76" t="s">
        <v>43</v>
      </c>
      <c r="X76" t="s">
        <v>555</v>
      </c>
      <c r="Y76" t="s">
        <v>556</v>
      </c>
      <c r="Z76" t="s">
        <v>52</v>
      </c>
    </row>
    <row r="77" spans="1:26" x14ac:dyDescent="0.3">
      <c r="A77">
        <v>10178</v>
      </c>
      <c r="B77">
        <v>24</v>
      </c>
      <c r="C77">
        <v>100</v>
      </c>
      <c r="D77">
        <v>12</v>
      </c>
      <c r="E77">
        <v>3492.48</v>
      </c>
      <c r="F77" s="2">
        <v>37933</v>
      </c>
      <c r="G77" s="2" t="str">
        <f t="shared" si="1"/>
        <v>Nov</v>
      </c>
      <c r="H77" t="s">
        <v>26</v>
      </c>
      <c r="I77">
        <v>4</v>
      </c>
      <c r="J77">
        <v>11</v>
      </c>
      <c r="K77">
        <v>2003</v>
      </c>
      <c r="L77" t="s">
        <v>198</v>
      </c>
      <c r="M77">
        <v>136</v>
      </c>
      <c r="N77" t="s">
        <v>358</v>
      </c>
      <c r="O77" t="s">
        <v>379</v>
      </c>
      <c r="P77" t="s">
        <v>380</v>
      </c>
      <c r="Q77" t="s">
        <v>381</v>
      </c>
      <c r="R77" t="s">
        <v>755</v>
      </c>
      <c r="S77" t="s">
        <v>382</v>
      </c>
      <c r="T77" t="s">
        <v>755</v>
      </c>
      <c r="U77">
        <v>31000</v>
      </c>
      <c r="V77" t="s">
        <v>42</v>
      </c>
      <c r="W77" t="s">
        <v>43</v>
      </c>
      <c r="X77" t="s">
        <v>383</v>
      </c>
      <c r="Y77" t="s">
        <v>384</v>
      </c>
      <c r="Z77" t="s">
        <v>52</v>
      </c>
    </row>
    <row r="78" spans="1:26" x14ac:dyDescent="0.3">
      <c r="A78">
        <v>10180</v>
      </c>
      <c r="B78">
        <v>29</v>
      </c>
      <c r="C78">
        <v>86.13</v>
      </c>
      <c r="D78">
        <v>9</v>
      </c>
      <c r="E78">
        <v>2497.77</v>
      </c>
      <c r="F78" s="2">
        <v>37936</v>
      </c>
      <c r="G78" s="2" t="str">
        <f t="shared" si="1"/>
        <v>Nov</v>
      </c>
      <c r="H78" t="s">
        <v>26</v>
      </c>
      <c r="I78">
        <v>4</v>
      </c>
      <c r="J78">
        <v>11</v>
      </c>
      <c r="K78">
        <v>2003</v>
      </c>
      <c r="L78" t="s">
        <v>27</v>
      </c>
      <c r="M78">
        <v>95</v>
      </c>
      <c r="N78" t="s">
        <v>28</v>
      </c>
      <c r="O78" t="s">
        <v>70</v>
      </c>
      <c r="P78" t="s">
        <v>71</v>
      </c>
      <c r="Q78" t="s">
        <v>72</v>
      </c>
      <c r="R78" t="s">
        <v>755</v>
      </c>
      <c r="S78" t="s">
        <v>73</v>
      </c>
      <c r="T78" t="s">
        <v>755</v>
      </c>
      <c r="U78">
        <v>59000</v>
      </c>
      <c r="V78" t="s">
        <v>42</v>
      </c>
      <c r="W78" t="s">
        <v>43</v>
      </c>
      <c r="X78" t="s">
        <v>74</v>
      </c>
      <c r="Y78" t="s">
        <v>75</v>
      </c>
      <c r="Z78" t="s">
        <v>37</v>
      </c>
    </row>
    <row r="79" spans="1:26" x14ac:dyDescent="0.3">
      <c r="A79">
        <v>10181</v>
      </c>
      <c r="B79">
        <v>27</v>
      </c>
      <c r="C79">
        <v>100</v>
      </c>
      <c r="D79">
        <v>14</v>
      </c>
      <c r="E79">
        <v>5411.07</v>
      </c>
      <c r="F79" s="2">
        <v>37937</v>
      </c>
      <c r="G79" s="2" t="str">
        <f t="shared" si="1"/>
        <v>Nov</v>
      </c>
      <c r="H79" t="s">
        <v>26</v>
      </c>
      <c r="I79">
        <v>4</v>
      </c>
      <c r="J79">
        <v>11</v>
      </c>
      <c r="K79">
        <v>2003</v>
      </c>
      <c r="L79" t="s">
        <v>198</v>
      </c>
      <c r="M79">
        <v>194</v>
      </c>
      <c r="N79" t="s">
        <v>480</v>
      </c>
      <c r="O79" t="s">
        <v>77</v>
      </c>
      <c r="P79" t="s">
        <v>78</v>
      </c>
      <c r="Q79" t="s">
        <v>79</v>
      </c>
      <c r="R79" t="s">
        <v>755</v>
      </c>
      <c r="S79" t="s">
        <v>80</v>
      </c>
      <c r="T79" t="s">
        <v>755</v>
      </c>
      <c r="U79" t="s">
        <v>81</v>
      </c>
      <c r="V79" t="s">
        <v>82</v>
      </c>
      <c r="W79" t="s">
        <v>43</v>
      </c>
      <c r="X79" t="s">
        <v>83</v>
      </c>
      <c r="Y79" t="s">
        <v>84</v>
      </c>
      <c r="Z79" t="s">
        <v>52</v>
      </c>
    </row>
    <row r="80" spans="1:26" x14ac:dyDescent="0.3">
      <c r="A80">
        <v>10182</v>
      </c>
      <c r="B80">
        <v>25</v>
      </c>
      <c r="C80">
        <v>87.33</v>
      </c>
      <c r="D80">
        <v>3</v>
      </c>
      <c r="E80">
        <v>2183.25</v>
      </c>
      <c r="F80" s="2">
        <v>37937</v>
      </c>
      <c r="G80" s="2" t="str">
        <f t="shared" si="1"/>
        <v>Nov</v>
      </c>
      <c r="H80" t="s">
        <v>26</v>
      </c>
      <c r="I80">
        <v>4</v>
      </c>
      <c r="J80">
        <v>11</v>
      </c>
      <c r="K80">
        <v>2003</v>
      </c>
      <c r="L80" t="s">
        <v>630</v>
      </c>
      <c r="M80">
        <v>102</v>
      </c>
      <c r="N80" t="s">
        <v>631</v>
      </c>
      <c r="O80" t="s">
        <v>301</v>
      </c>
      <c r="P80">
        <v>4155551450</v>
      </c>
      <c r="Q80" t="s">
        <v>302</v>
      </c>
      <c r="R80" t="s">
        <v>755</v>
      </c>
      <c r="S80" t="s">
        <v>303</v>
      </c>
      <c r="T80" t="s">
        <v>57</v>
      </c>
      <c r="U80">
        <v>97562</v>
      </c>
      <c r="V80" t="s">
        <v>33</v>
      </c>
      <c r="W80" t="s">
        <v>34</v>
      </c>
      <c r="X80" t="s">
        <v>304</v>
      </c>
      <c r="Y80" t="s">
        <v>305</v>
      </c>
      <c r="Z80" t="s">
        <v>37</v>
      </c>
    </row>
    <row r="81" spans="1:26" x14ac:dyDescent="0.3">
      <c r="A81">
        <v>10183</v>
      </c>
      <c r="B81">
        <v>23</v>
      </c>
      <c r="C81">
        <v>100</v>
      </c>
      <c r="D81">
        <v>8</v>
      </c>
      <c r="E81">
        <v>5372.57</v>
      </c>
      <c r="F81" s="2">
        <v>37938</v>
      </c>
      <c r="G81" s="2" t="str">
        <f t="shared" si="1"/>
        <v>Nov</v>
      </c>
      <c r="H81" t="s">
        <v>26</v>
      </c>
      <c r="I81">
        <v>4</v>
      </c>
      <c r="J81">
        <v>11</v>
      </c>
      <c r="K81">
        <v>2003</v>
      </c>
      <c r="L81" t="s">
        <v>198</v>
      </c>
      <c r="M81">
        <v>214</v>
      </c>
      <c r="N81" t="s">
        <v>199</v>
      </c>
      <c r="O81" t="s">
        <v>237</v>
      </c>
      <c r="P81">
        <v>2155554695</v>
      </c>
      <c r="Q81" t="s">
        <v>238</v>
      </c>
      <c r="R81" t="s">
        <v>755</v>
      </c>
      <c r="S81" t="s">
        <v>239</v>
      </c>
      <c r="T81" t="s">
        <v>154</v>
      </c>
      <c r="U81">
        <v>71270</v>
      </c>
      <c r="V81" t="s">
        <v>33</v>
      </c>
      <c r="W81" t="s">
        <v>34</v>
      </c>
      <c r="X81" t="s">
        <v>240</v>
      </c>
      <c r="Y81" t="s">
        <v>241</v>
      </c>
      <c r="Z81" t="s">
        <v>52</v>
      </c>
    </row>
    <row r="82" spans="1:26" x14ac:dyDescent="0.3">
      <c r="A82">
        <v>10184</v>
      </c>
      <c r="B82">
        <v>37</v>
      </c>
      <c r="C82">
        <v>100</v>
      </c>
      <c r="D82">
        <v>6</v>
      </c>
      <c r="E82">
        <v>4516.22</v>
      </c>
      <c r="F82" s="2">
        <v>37939</v>
      </c>
      <c r="G82" s="2" t="str">
        <f t="shared" si="1"/>
        <v>Nov</v>
      </c>
      <c r="H82" t="s">
        <v>26</v>
      </c>
      <c r="I82">
        <v>4</v>
      </c>
      <c r="J82">
        <v>11</v>
      </c>
      <c r="K82">
        <v>2003</v>
      </c>
      <c r="L82" t="s">
        <v>573</v>
      </c>
      <c r="M82">
        <v>118</v>
      </c>
      <c r="N82" t="s">
        <v>594</v>
      </c>
      <c r="O82" t="s">
        <v>596</v>
      </c>
      <c r="P82" t="s">
        <v>597</v>
      </c>
      <c r="Q82" t="s">
        <v>598</v>
      </c>
      <c r="R82" t="s">
        <v>755</v>
      </c>
      <c r="S82" t="s">
        <v>599</v>
      </c>
      <c r="T82" t="s">
        <v>755</v>
      </c>
      <c r="U82">
        <v>41101</v>
      </c>
      <c r="V82" t="s">
        <v>194</v>
      </c>
      <c r="W82" t="s">
        <v>43</v>
      </c>
      <c r="X82" t="s">
        <v>600</v>
      </c>
      <c r="Y82" t="s">
        <v>601</v>
      </c>
      <c r="Z82" t="s">
        <v>52</v>
      </c>
    </row>
    <row r="83" spans="1:26" x14ac:dyDescent="0.3">
      <c r="A83">
        <v>10185</v>
      </c>
      <c r="B83">
        <v>21</v>
      </c>
      <c r="C83">
        <v>100</v>
      </c>
      <c r="D83">
        <v>13</v>
      </c>
      <c r="E83">
        <v>3883.74</v>
      </c>
      <c r="F83" s="2">
        <v>37939</v>
      </c>
      <c r="G83" s="2" t="str">
        <f t="shared" si="1"/>
        <v>Nov</v>
      </c>
      <c r="H83" t="s">
        <v>26</v>
      </c>
      <c r="I83">
        <v>4</v>
      </c>
      <c r="J83">
        <v>11</v>
      </c>
      <c r="K83">
        <v>2003</v>
      </c>
      <c r="L83" t="s">
        <v>198</v>
      </c>
      <c r="M83">
        <v>207</v>
      </c>
      <c r="N83" t="s">
        <v>536</v>
      </c>
      <c r="O83" t="s">
        <v>373</v>
      </c>
      <c r="P83">
        <v>5085559555</v>
      </c>
      <c r="Q83" t="s">
        <v>374</v>
      </c>
      <c r="R83" t="s">
        <v>755</v>
      </c>
      <c r="S83" t="s">
        <v>177</v>
      </c>
      <c r="T83" t="s">
        <v>133</v>
      </c>
      <c r="U83">
        <v>50553</v>
      </c>
      <c r="V83" t="s">
        <v>33</v>
      </c>
      <c r="W83" t="s">
        <v>34</v>
      </c>
      <c r="X83" t="s">
        <v>375</v>
      </c>
      <c r="Y83" t="s">
        <v>376</v>
      </c>
      <c r="Z83" t="s">
        <v>52</v>
      </c>
    </row>
    <row r="84" spans="1:26" x14ac:dyDescent="0.3">
      <c r="A84">
        <v>10186</v>
      </c>
      <c r="B84">
        <v>26</v>
      </c>
      <c r="C84">
        <v>100</v>
      </c>
      <c r="D84">
        <v>9</v>
      </c>
      <c r="E84">
        <v>3854.24</v>
      </c>
      <c r="F84" s="2">
        <v>37939</v>
      </c>
      <c r="G84" s="2" t="str">
        <f t="shared" si="1"/>
        <v>Nov</v>
      </c>
      <c r="H84" t="s">
        <v>26</v>
      </c>
      <c r="I84">
        <v>4</v>
      </c>
      <c r="J84">
        <v>11</v>
      </c>
      <c r="K84">
        <v>2003</v>
      </c>
      <c r="L84" t="s">
        <v>198</v>
      </c>
      <c r="M84">
        <v>136</v>
      </c>
      <c r="N84" t="s">
        <v>358</v>
      </c>
      <c r="O84" t="s">
        <v>386</v>
      </c>
      <c r="P84" t="s">
        <v>387</v>
      </c>
      <c r="Q84" t="s">
        <v>388</v>
      </c>
      <c r="R84" t="s">
        <v>755</v>
      </c>
      <c r="S84" t="s">
        <v>370</v>
      </c>
      <c r="T84" t="s">
        <v>755</v>
      </c>
      <c r="U84" t="s">
        <v>389</v>
      </c>
      <c r="V84" t="s">
        <v>185</v>
      </c>
      <c r="W84" t="s">
        <v>43</v>
      </c>
      <c r="X84" t="s">
        <v>390</v>
      </c>
      <c r="Y84" t="s">
        <v>391</v>
      </c>
      <c r="Z84" t="s">
        <v>52</v>
      </c>
    </row>
    <row r="85" spans="1:26" x14ac:dyDescent="0.3">
      <c r="A85">
        <v>10188</v>
      </c>
      <c r="B85">
        <v>48</v>
      </c>
      <c r="C85">
        <v>100</v>
      </c>
      <c r="D85">
        <v>1</v>
      </c>
      <c r="E85">
        <v>5512.32</v>
      </c>
      <c r="F85" s="2">
        <v>37943</v>
      </c>
      <c r="G85" s="2" t="str">
        <f t="shared" si="1"/>
        <v>Nov</v>
      </c>
      <c r="H85" t="s">
        <v>26</v>
      </c>
      <c r="I85">
        <v>4</v>
      </c>
      <c r="J85">
        <v>11</v>
      </c>
      <c r="K85">
        <v>2003</v>
      </c>
      <c r="L85" t="s">
        <v>27</v>
      </c>
      <c r="M85">
        <v>95</v>
      </c>
      <c r="N85" t="s">
        <v>28</v>
      </c>
      <c r="O85" t="s">
        <v>77</v>
      </c>
      <c r="P85" t="s">
        <v>78</v>
      </c>
      <c r="Q85" t="s">
        <v>79</v>
      </c>
      <c r="R85" t="s">
        <v>755</v>
      </c>
      <c r="S85" t="s">
        <v>80</v>
      </c>
      <c r="T85" t="s">
        <v>755</v>
      </c>
      <c r="U85" t="s">
        <v>81</v>
      </c>
      <c r="V85" t="s">
        <v>82</v>
      </c>
      <c r="W85" t="s">
        <v>43</v>
      </c>
      <c r="X85" t="s">
        <v>83</v>
      </c>
      <c r="Y85" t="s">
        <v>84</v>
      </c>
      <c r="Z85" t="s">
        <v>52</v>
      </c>
    </row>
    <row r="86" spans="1:26" x14ac:dyDescent="0.3">
      <c r="A86">
        <v>10189</v>
      </c>
      <c r="B86">
        <v>28</v>
      </c>
      <c r="C86">
        <v>100</v>
      </c>
      <c r="D86">
        <v>1</v>
      </c>
      <c r="E86">
        <v>4512.4799999999996</v>
      </c>
      <c r="F86" s="2">
        <v>37943</v>
      </c>
      <c r="G86" s="2" t="str">
        <f t="shared" si="1"/>
        <v>Nov</v>
      </c>
      <c r="H86" t="s">
        <v>26</v>
      </c>
      <c r="I86">
        <v>4</v>
      </c>
      <c r="J86">
        <v>11</v>
      </c>
      <c r="K86">
        <v>2003</v>
      </c>
      <c r="L86" t="s">
        <v>27</v>
      </c>
      <c r="M86">
        <v>150</v>
      </c>
      <c r="N86" t="s">
        <v>575</v>
      </c>
      <c r="O86" t="s">
        <v>54</v>
      </c>
      <c r="P86">
        <v>6265557265</v>
      </c>
      <c r="Q86" t="s">
        <v>55</v>
      </c>
      <c r="R86" t="s">
        <v>755</v>
      </c>
      <c r="S86" t="s">
        <v>56</v>
      </c>
      <c r="T86" t="s">
        <v>57</v>
      </c>
      <c r="U86">
        <v>90003</v>
      </c>
      <c r="V86" t="s">
        <v>33</v>
      </c>
      <c r="W86" t="s">
        <v>34</v>
      </c>
      <c r="X86" t="s">
        <v>58</v>
      </c>
      <c r="Y86" t="s">
        <v>59</v>
      </c>
      <c r="Z86" t="s">
        <v>52</v>
      </c>
    </row>
    <row r="87" spans="1:26" x14ac:dyDescent="0.3">
      <c r="A87">
        <v>10190</v>
      </c>
      <c r="B87">
        <v>42</v>
      </c>
      <c r="C87">
        <v>76.19</v>
      </c>
      <c r="D87">
        <v>3</v>
      </c>
      <c r="E87">
        <v>3199.98</v>
      </c>
      <c r="F87" s="2">
        <v>37944</v>
      </c>
      <c r="G87" s="2" t="str">
        <f t="shared" si="1"/>
        <v>Nov</v>
      </c>
      <c r="H87" t="s">
        <v>26</v>
      </c>
      <c r="I87">
        <v>4</v>
      </c>
      <c r="J87">
        <v>11</v>
      </c>
      <c r="K87">
        <v>2003</v>
      </c>
      <c r="L87" t="s">
        <v>27</v>
      </c>
      <c r="M87">
        <v>69</v>
      </c>
      <c r="N87" t="s">
        <v>732</v>
      </c>
      <c r="O87" t="s">
        <v>190</v>
      </c>
      <c r="P87" t="s">
        <v>191</v>
      </c>
      <c r="Q87" t="s">
        <v>192</v>
      </c>
      <c r="R87" t="s">
        <v>755</v>
      </c>
      <c r="S87" t="s">
        <v>193</v>
      </c>
      <c r="T87" t="s">
        <v>755</v>
      </c>
      <c r="U87">
        <v>28034</v>
      </c>
      <c r="V87" t="s">
        <v>194</v>
      </c>
      <c r="W87" t="s">
        <v>43</v>
      </c>
      <c r="X87" t="s">
        <v>195</v>
      </c>
      <c r="Y87" t="s">
        <v>196</v>
      </c>
      <c r="Z87" t="s">
        <v>52</v>
      </c>
    </row>
    <row r="88" spans="1:26" x14ac:dyDescent="0.3">
      <c r="A88">
        <v>10191</v>
      </c>
      <c r="B88">
        <v>21</v>
      </c>
      <c r="C88">
        <v>100</v>
      </c>
      <c r="D88">
        <v>3</v>
      </c>
      <c r="E88">
        <v>3840.9</v>
      </c>
      <c r="F88" s="2">
        <v>37945</v>
      </c>
      <c r="G88" s="2" t="str">
        <f t="shared" si="1"/>
        <v>Nov</v>
      </c>
      <c r="H88" t="s">
        <v>26</v>
      </c>
      <c r="I88">
        <v>4</v>
      </c>
      <c r="J88">
        <v>11</v>
      </c>
      <c r="K88">
        <v>2003</v>
      </c>
      <c r="L88" t="s">
        <v>198</v>
      </c>
      <c r="M88">
        <v>194</v>
      </c>
      <c r="N88" t="s">
        <v>480</v>
      </c>
      <c r="O88" t="s">
        <v>496</v>
      </c>
      <c r="P88" t="s">
        <v>497</v>
      </c>
      <c r="Q88" t="s">
        <v>498</v>
      </c>
      <c r="R88" t="s">
        <v>755</v>
      </c>
      <c r="S88" t="s">
        <v>499</v>
      </c>
      <c r="T88" t="s">
        <v>755</v>
      </c>
      <c r="U88">
        <v>50739</v>
      </c>
      <c r="V88" t="s">
        <v>500</v>
      </c>
      <c r="W88" t="s">
        <v>43</v>
      </c>
      <c r="X88" t="s">
        <v>501</v>
      </c>
      <c r="Y88" t="s">
        <v>502</v>
      </c>
      <c r="Z88" t="s">
        <v>52</v>
      </c>
    </row>
    <row r="89" spans="1:26" x14ac:dyDescent="0.3">
      <c r="A89">
        <v>10192</v>
      </c>
      <c r="B89">
        <v>27</v>
      </c>
      <c r="C89">
        <v>100</v>
      </c>
      <c r="D89">
        <v>16</v>
      </c>
      <c r="E89">
        <v>3544.56</v>
      </c>
      <c r="F89" s="2">
        <v>37945</v>
      </c>
      <c r="G89" s="2" t="str">
        <f t="shared" si="1"/>
        <v>Nov</v>
      </c>
      <c r="H89" t="s">
        <v>26</v>
      </c>
      <c r="I89">
        <v>4</v>
      </c>
      <c r="J89">
        <v>11</v>
      </c>
      <c r="K89">
        <v>2003</v>
      </c>
      <c r="L89" t="s">
        <v>198</v>
      </c>
      <c r="M89">
        <v>115</v>
      </c>
      <c r="N89" t="s">
        <v>606</v>
      </c>
      <c r="O89" t="s">
        <v>306</v>
      </c>
      <c r="P89">
        <v>6035558647</v>
      </c>
      <c r="Q89" t="s">
        <v>307</v>
      </c>
      <c r="R89" t="s">
        <v>755</v>
      </c>
      <c r="S89" t="s">
        <v>308</v>
      </c>
      <c r="T89" t="s">
        <v>309</v>
      </c>
      <c r="U89">
        <v>62005</v>
      </c>
      <c r="V89" t="s">
        <v>33</v>
      </c>
      <c r="W89" t="s">
        <v>34</v>
      </c>
      <c r="X89" t="s">
        <v>58</v>
      </c>
      <c r="Y89" t="s">
        <v>305</v>
      </c>
      <c r="Z89" t="s">
        <v>52</v>
      </c>
    </row>
    <row r="90" spans="1:26" x14ac:dyDescent="0.3">
      <c r="A90">
        <v>10193</v>
      </c>
      <c r="B90">
        <v>28</v>
      </c>
      <c r="C90">
        <v>100</v>
      </c>
      <c r="D90">
        <v>7</v>
      </c>
      <c r="E90">
        <v>3106.88</v>
      </c>
      <c r="F90" s="2">
        <v>37946</v>
      </c>
      <c r="G90" s="2" t="str">
        <f t="shared" si="1"/>
        <v>Nov</v>
      </c>
      <c r="H90" t="s">
        <v>26</v>
      </c>
      <c r="I90">
        <v>4</v>
      </c>
      <c r="J90">
        <v>11</v>
      </c>
      <c r="K90">
        <v>2003</v>
      </c>
      <c r="L90" t="s">
        <v>630</v>
      </c>
      <c r="M90">
        <v>102</v>
      </c>
      <c r="N90" t="s">
        <v>631</v>
      </c>
      <c r="O90" t="s">
        <v>643</v>
      </c>
      <c r="P90" t="s">
        <v>644</v>
      </c>
      <c r="Q90" t="s">
        <v>645</v>
      </c>
      <c r="R90" t="s">
        <v>755</v>
      </c>
      <c r="S90" t="s">
        <v>646</v>
      </c>
      <c r="T90" t="s">
        <v>100</v>
      </c>
      <c r="U90">
        <v>3150</v>
      </c>
      <c r="V90" t="s">
        <v>101</v>
      </c>
      <c r="W90" t="s">
        <v>102</v>
      </c>
      <c r="X90" t="s">
        <v>647</v>
      </c>
      <c r="Y90" t="s">
        <v>648</v>
      </c>
      <c r="Z90" t="s">
        <v>52</v>
      </c>
    </row>
    <row r="91" spans="1:26" x14ac:dyDescent="0.3">
      <c r="A91">
        <v>10194</v>
      </c>
      <c r="B91">
        <v>42</v>
      </c>
      <c r="C91">
        <v>100</v>
      </c>
      <c r="D91">
        <v>11</v>
      </c>
      <c r="E91">
        <v>7290.36</v>
      </c>
      <c r="F91" s="2">
        <v>37950</v>
      </c>
      <c r="G91" s="2" t="str">
        <f t="shared" si="1"/>
        <v>Nov</v>
      </c>
      <c r="H91" t="s">
        <v>26</v>
      </c>
      <c r="I91">
        <v>4</v>
      </c>
      <c r="J91">
        <v>11</v>
      </c>
      <c r="K91">
        <v>2003</v>
      </c>
      <c r="L91" t="s">
        <v>198</v>
      </c>
      <c r="M91">
        <v>214</v>
      </c>
      <c r="N91" t="s">
        <v>199</v>
      </c>
      <c r="O91" t="s">
        <v>243</v>
      </c>
      <c r="P91" t="s">
        <v>244</v>
      </c>
      <c r="Q91" t="s">
        <v>245</v>
      </c>
      <c r="R91" t="s">
        <v>755</v>
      </c>
      <c r="S91" t="s">
        <v>246</v>
      </c>
      <c r="T91" t="s">
        <v>755</v>
      </c>
      <c r="U91">
        <v>69004</v>
      </c>
      <c r="V91" t="s">
        <v>42</v>
      </c>
      <c r="W91" t="s">
        <v>43</v>
      </c>
      <c r="X91" t="s">
        <v>247</v>
      </c>
      <c r="Y91" t="s">
        <v>248</v>
      </c>
      <c r="Z91" t="s">
        <v>165</v>
      </c>
    </row>
    <row r="92" spans="1:26" x14ac:dyDescent="0.3">
      <c r="A92">
        <v>10195</v>
      </c>
      <c r="B92">
        <v>49</v>
      </c>
      <c r="C92">
        <v>100</v>
      </c>
      <c r="D92">
        <v>6</v>
      </c>
      <c r="E92">
        <v>6445.46</v>
      </c>
      <c r="F92" s="2">
        <v>37950</v>
      </c>
      <c r="G92" s="2" t="str">
        <f t="shared" si="1"/>
        <v>Nov</v>
      </c>
      <c r="H92" t="s">
        <v>26</v>
      </c>
      <c r="I92">
        <v>4</v>
      </c>
      <c r="J92">
        <v>11</v>
      </c>
      <c r="K92">
        <v>2003</v>
      </c>
      <c r="L92" t="s">
        <v>573</v>
      </c>
      <c r="M92">
        <v>118</v>
      </c>
      <c r="N92" t="s">
        <v>594</v>
      </c>
      <c r="O92" t="s">
        <v>353</v>
      </c>
      <c r="P92">
        <v>9145554562</v>
      </c>
      <c r="Q92" t="s">
        <v>354</v>
      </c>
      <c r="R92" t="s">
        <v>755</v>
      </c>
      <c r="S92" t="s">
        <v>355</v>
      </c>
      <c r="T92" t="s">
        <v>32</v>
      </c>
      <c r="U92">
        <v>24067</v>
      </c>
      <c r="V92" t="s">
        <v>33</v>
      </c>
      <c r="W92" t="s">
        <v>34</v>
      </c>
      <c r="X92" t="s">
        <v>108</v>
      </c>
      <c r="Y92" t="s">
        <v>263</v>
      </c>
      <c r="Z92" t="s">
        <v>52</v>
      </c>
    </row>
    <row r="93" spans="1:26" x14ac:dyDescent="0.3">
      <c r="A93">
        <v>10196</v>
      </c>
      <c r="B93">
        <v>47</v>
      </c>
      <c r="C93">
        <v>100</v>
      </c>
      <c r="D93">
        <v>5</v>
      </c>
      <c r="E93">
        <v>8887.7000000000007</v>
      </c>
      <c r="F93" s="2">
        <v>37951</v>
      </c>
      <c r="G93" s="2" t="str">
        <f t="shared" si="1"/>
        <v>Nov</v>
      </c>
      <c r="H93" t="s">
        <v>26</v>
      </c>
      <c r="I93">
        <v>4</v>
      </c>
      <c r="J93">
        <v>11</v>
      </c>
      <c r="K93">
        <v>2003</v>
      </c>
      <c r="L93" t="s">
        <v>198</v>
      </c>
      <c r="M93">
        <v>207</v>
      </c>
      <c r="N93" t="s">
        <v>536</v>
      </c>
      <c r="O93" t="s">
        <v>267</v>
      </c>
      <c r="P93">
        <v>2035559545</v>
      </c>
      <c r="Q93" t="s">
        <v>268</v>
      </c>
      <c r="R93" t="s">
        <v>755</v>
      </c>
      <c r="S93" t="s">
        <v>269</v>
      </c>
      <c r="T93" t="s">
        <v>120</v>
      </c>
      <c r="U93">
        <v>97823</v>
      </c>
      <c r="V93" t="s">
        <v>33</v>
      </c>
      <c r="W93" t="s">
        <v>34</v>
      </c>
      <c r="X93" t="s">
        <v>87</v>
      </c>
      <c r="Y93" t="s">
        <v>270</v>
      </c>
      <c r="Z93" t="s">
        <v>165</v>
      </c>
    </row>
    <row r="94" spans="1:26" x14ac:dyDescent="0.3">
      <c r="A94">
        <v>10197</v>
      </c>
      <c r="B94">
        <v>45</v>
      </c>
      <c r="C94">
        <v>100</v>
      </c>
      <c r="D94">
        <v>6</v>
      </c>
      <c r="E94">
        <v>5324.4</v>
      </c>
      <c r="F94" s="2">
        <v>37951</v>
      </c>
      <c r="G94" s="2" t="str">
        <f t="shared" si="1"/>
        <v>Nov</v>
      </c>
      <c r="H94" t="s">
        <v>26</v>
      </c>
      <c r="I94">
        <v>4</v>
      </c>
      <c r="J94">
        <v>11</v>
      </c>
      <c r="K94">
        <v>2003</v>
      </c>
      <c r="L94" t="s">
        <v>198</v>
      </c>
      <c r="M94">
        <v>136</v>
      </c>
      <c r="N94" t="s">
        <v>358</v>
      </c>
      <c r="O94" t="s">
        <v>393</v>
      </c>
      <c r="P94" t="s">
        <v>394</v>
      </c>
      <c r="Q94" t="s">
        <v>395</v>
      </c>
      <c r="R94" t="s">
        <v>755</v>
      </c>
      <c r="S94" t="s">
        <v>396</v>
      </c>
      <c r="T94" t="s">
        <v>755</v>
      </c>
      <c r="U94">
        <v>8022</v>
      </c>
      <c r="V94" t="s">
        <v>194</v>
      </c>
      <c r="W94" t="s">
        <v>43</v>
      </c>
      <c r="X94" t="s">
        <v>397</v>
      </c>
      <c r="Y94" t="s">
        <v>398</v>
      </c>
      <c r="Z94" t="s">
        <v>52</v>
      </c>
    </row>
    <row r="95" spans="1:26" x14ac:dyDescent="0.3">
      <c r="A95">
        <v>10198</v>
      </c>
      <c r="B95">
        <v>42</v>
      </c>
      <c r="C95">
        <v>100</v>
      </c>
      <c r="D95">
        <v>4</v>
      </c>
      <c r="E95">
        <v>7483.98</v>
      </c>
      <c r="F95" s="2">
        <v>37952</v>
      </c>
      <c r="G95" s="2" t="str">
        <f t="shared" si="1"/>
        <v>Nov</v>
      </c>
      <c r="H95" t="s">
        <v>26</v>
      </c>
      <c r="I95">
        <v>4</v>
      </c>
      <c r="J95">
        <v>11</v>
      </c>
      <c r="K95">
        <v>2003</v>
      </c>
      <c r="L95" t="s">
        <v>658</v>
      </c>
      <c r="M95">
        <v>157</v>
      </c>
      <c r="N95" t="s">
        <v>659</v>
      </c>
      <c r="O95" t="s">
        <v>481</v>
      </c>
      <c r="P95" t="s">
        <v>482</v>
      </c>
      <c r="Q95" t="s">
        <v>483</v>
      </c>
      <c r="R95" t="s">
        <v>755</v>
      </c>
      <c r="S95" t="s">
        <v>484</v>
      </c>
      <c r="T95" t="s">
        <v>755</v>
      </c>
      <c r="U95" t="s">
        <v>485</v>
      </c>
      <c r="V95" t="s">
        <v>486</v>
      </c>
      <c r="W95" t="s">
        <v>221</v>
      </c>
      <c r="X95" t="s">
        <v>487</v>
      </c>
      <c r="Y95" t="s">
        <v>488</v>
      </c>
      <c r="Z95" t="s">
        <v>165</v>
      </c>
    </row>
    <row r="96" spans="1:26" x14ac:dyDescent="0.3">
      <c r="A96">
        <v>10199</v>
      </c>
      <c r="B96">
        <v>29</v>
      </c>
      <c r="C96">
        <v>38.4</v>
      </c>
      <c r="D96">
        <v>1</v>
      </c>
      <c r="E96">
        <v>1113.5999999999999</v>
      </c>
      <c r="F96" s="2">
        <v>37956</v>
      </c>
      <c r="G96" s="2" t="str">
        <f t="shared" si="1"/>
        <v>Dec</v>
      </c>
      <c r="H96" t="s">
        <v>26</v>
      </c>
      <c r="I96">
        <v>4</v>
      </c>
      <c r="J96">
        <v>12</v>
      </c>
      <c r="K96">
        <v>2003</v>
      </c>
      <c r="L96" t="s">
        <v>630</v>
      </c>
      <c r="M96">
        <v>43</v>
      </c>
      <c r="N96" t="s">
        <v>748</v>
      </c>
      <c r="O96" t="s">
        <v>259</v>
      </c>
      <c r="P96">
        <v>3105553722</v>
      </c>
      <c r="Q96" t="s">
        <v>260</v>
      </c>
      <c r="R96" t="s">
        <v>755</v>
      </c>
      <c r="S96" t="s">
        <v>261</v>
      </c>
      <c r="T96" t="s">
        <v>57</v>
      </c>
      <c r="U96">
        <v>94019</v>
      </c>
      <c r="V96" t="s">
        <v>33</v>
      </c>
      <c r="W96" t="s">
        <v>34</v>
      </c>
      <c r="X96" t="s">
        <v>262</v>
      </c>
      <c r="Y96" t="s">
        <v>263</v>
      </c>
      <c r="Z96" t="s">
        <v>37</v>
      </c>
    </row>
    <row r="97" spans="1:26" x14ac:dyDescent="0.3">
      <c r="A97">
        <v>10201</v>
      </c>
      <c r="B97">
        <v>22</v>
      </c>
      <c r="C97">
        <v>98.57</v>
      </c>
      <c r="D97">
        <v>2</v>
      </c>
      <c r="E97">
        <v>2168.54</v>
      </c>
      <c r="F97" s="2">
        <v>37956</v>
      </c>
      <c r="G97" s="2" t="str">
        <f t="shared" si="1"/>
        <v>Dec</v>
      </c>
      <c r="H97" t="s">
        <v>26</v>
      </c>
      <c r="I97">
        <v>4</v>
      </c>
      <c r="J97">
        <v>12</v>
      </c>
      <c r="K97">
        <v>2003</v>
      </c>
      <c r="L97" t="s">
        <v>27</v>
      </c>
      <c r="M97">
        <v>95</v>
      </c>
      <c r="N97" t="s">
        <v>28</v>
      </c>
      <c r="O97" t="s">
        <v>85</v>
      </c>
      <c r="P97">
        <v>6505555787</v>
      </c>
      <c r="Q97" t="s">
        <v>86</v>
      </c>
      <c r="R97" t="s">
        <v>755</v>
      </c>
      <c r="S97" t="s">
        <v>62</v>
      </c>
      <c r="T97" t="s">
        <v>57</v>
      </c>
      <c r="U97" t="s">
        <v>755</v>
      </c>
      <c r="V97" t="s">
        <v>33</v>
      </c>
      <c r="W97" t="s">
        <v>34</v>
      </c>
      <c r="X97" t="s">
        <v>87</v>
      </c>
      <c r="Y97" t="s">
        <v>59</v>
      </c>
      <c r="Z97" t="s">
        <v>37</v>
      </c>
    </row>
    <row r="98" spans="1:26" x14ac:dyDescent="0.3">
      <c r="A98">
        <v>10203</v>
      </c>
      <c r="B98">
        <v>20</v>
      </c>
      <c r="C98">
        <v>100</v>
      </c>
      <c r="D98">
        <v>8</v>
      </c>
      <c r="E98">
        <v>3930.4</v>
      </c>
      <c r="F98" s="2">
        <v>37957</v>
      </c>
      <c r="G98" s="2" t="str">
        <f t="shared" si="1"/>
        <v>Dec</v>
      </c>
      <c r="H98" t="s">
        <v>26</v>
      </c>
      <c r="I98">
        <v>4</v>
      </c>
      <c r="J98">
        <v>12</v>
      </c>
      <c r="K98">
        <v>2003</v>
      </c>
      <c r="L98" t="s">
        <v>198</v>
      </c>
      <c r="M98">
        <v>194</v>
      </c>
      <c r="N98" t="s">
        <v>480</v>
      </c>
      <c r="O98" t="s">
        <v>190</v>
      </c>
      <c r="P98" t="s">
        <v>191</v>
      </c>
      <c r="Q98" t="s">
        <v>192</v>
      </c>
      <c r="R98" t="s">
        <v>755</v>
      </c>
      <c r="S98" t="s">
        <v>193</v>
      </c>
      <c r="T98" t="s">
        <v>755</v>
      </c>
      <c r="U98">
        <v>28034</v>
      </c>
      <c r="V98" t="s">
        <v>194</v>
      </c>
      <c r="W98" t="s">
        <v>43</v>
      </c>
      <c r="X98" t="s">
        <v>195</v>
      </c>
      <c r="Y98" t="s">
        <v>196</v>
      </c>
      <c r="Z98" t="s">
        <v>52</v>
      </c>
    </row>
    <row r="99" spans="1:26" x14ac:dyDescent="0.3">
      <c r="A99">
        <v>10204</v>
      </c>
      <c r="B99">
        <v>42</v>
      </c>
      <c r="C99">
        <v>100</v>
      </c>
      <c r="D99">
        <v>17</v>
      </c>
      <c r="E99">
        <v>6182.4</v>
      </c>
      <c r="F99" s="2">
        <v>37957</v>
      </c>
      <c r="G99" s="2" t="str">
        <f t="shared" si="1"/>
        <v>Dec</v>
      </c>
      <c r="H99" t="s">
        <v>26</v>
      </c>
      <c r="I99">
        <v>4</v>
      </c>
      <c r="J99">
        <v>12</v>
      </c>
      <c r="K99">
        <v>2003</v>
      </c>
      <c r="L99" t="s">
        <v>198</v>
      </c>
      <c r="M99">
        <v>141</v>
      </c>
      <c r="N99" t="s">
        <v>614</v>
      </c>
      <c r="O99" t="s">
        <v>537</v>
      </c>
      <c r="P99">
        <v>2125557413</v>
      </c>
      <c r="Q99" t="s">
        <v>538</v>
      </c>
      <c r="R99" t="s">
        <v>539</v>
      </c>
      <c r="S99" t="s">
        <v>31</v>
      </c>
      <c r="T99" t="s">
        <v>32</v>
      </c>
      <c r="U99">
        <v>10022</v>
      </c>
      <c r="V99" t="s">
        <v>33</v>
      </c>
      <c r="W99" t="s">
        <v>34</v>
      </c>
      <c r="X99" t="s">
        <v>58</v>
      </c>
      <c r="Y99" t="s">
        <v>540</v>
      </c>
      <c r="Z99" t="s">
        <v>52</v>
      </c>
    </row>
    <row r="100" spans="1:26" x14ac:dyDescent="0.3">
      <c r="A100">
        <v>10205</v>
      </c>
      <c r="B100">
        <v>36</v>
      </c>
      <c r="C100">
        <v>100</v>
      </c>
      <c r="D100">
        <v>2</v>
      </c>
      <c r="E100">
        <v>3735.72</v>
      </c>
      <c r="F100" s="2">
        <v>37958</v>
      </c>
      <c r="G100" s="2" t="str">
        <f t="shared" si="1"/>
        <v>Dec</v>
      </c>
      <c r="H100" t="s">
        <v>26</v>
      </c>
      <c r="I100">
        <v>4</v>
      </c>
      <c r="J100">
        <v>12</v>
      </c>
      <c r="K100">
        <v>2003</v>
      </c>
      <c r="L100" t="s">
        <v>630</v>
      </c>
      <c r="M100">
        <v>102</v>
      </c>
      <c r="N100" t="s">
        <v>631</v>
      </c>
      <c r="O100" t="s">
        <v>190</v>
      </c>
      <c r="P100" t="s">
        <v>191</v>
      </c>
      <c r="Q100" t="s">
        <v>192</v>
      </c>
      <c r="R100" t="s">
        <v>755</v>
      </c>
      <c r="S100" t="s">
        <v>193</v>
      </c>
      <c r="T100" t="s">
        <v>755</v>
      </c>
      <c r="U100">
        <v>28034</v>
      </c>
      <c r="V100" t="s">
        <v>194</v>
      </c>
      <c r="W100" t="s">
        <v>43</v>
      </c>
      <c r="X100" t="s">
        <v>195</v>
      </c>
      <c r="Y100" t="s">
        <v>196</v>
      </c>
      <c r="Z100" t="s">
        <v>52</v>
      </c>
    </row>
    <row r="101" spans="1:26" x14ac:dyDescent="0.3">
      <c r="A101">
        <v>10206</v>
      </c>
      <c r="B101">
        <v>47</v>
      </c>
      <c r="C101">
        <v>100</v>
      </c>
      <c r="D101">
        <v>6</v>
      </c>
      <c r="E101">
        <v>9064.89</v>
      </c>
      <c r="F101" s="2">
        <v>37960</v>
      </c>
      <c r="G101" s="2" t="str">
        <f t="shared" si="1"/>
        <v>Dec</v>
      </c>
      <c r="H101" t="s">
        <v>26</v>
      </c>
      <c r="I101">
        <v>4</v>
      </c>
      <c r="J101">
        <v>12</v>
      </c>
      <c r="K101">
        <v>2003</v>
      </c>
      <c r="L101" t="s">
        <v>198</v>
      </c>
      <c r="M101">
        <v>214</v>
      </c>
      <c r="N101" t="s">
        <v>199</v>
      </c>
      <c r="O101" t="s">
        <v>249</v>
      </c>
      <c r="P101" t="s">
        <v>250</v>
      </c>
      <c r="Q101" t="s">
        <v>251</v>
      </c>
      <c r="R101" t="s">
        <v>755</v>
      </c>
      <c r="S101" t="s">
        <v>252</v>
      </c>
      <c r="T101" t="s">
        <v>253</v>
      </c>
      <c r="U101" t="s">
        <v>254</v>
      </c>
      <c r="V101" t="s">
        <v>255</v>
      </c>
      <c r="W101" t="s">
        <v>34</v>
      </c>
      <c r="X101" t="s">
        <v>256</v>
      </c>
      <c r="Y101" t="s">
        <v>257</v>
      </c>
      <c r="Z101" t="s">
        <v>165</v>
      </c>
    </row>
    <row r="102" spans="1:26" x14ac:dyDescent="0.3">
      <c r="A102">
        <v>10207</v>
      </c>
      <c r="B102">
        <v>31</v>
      </c>
      <c r="C102">
        <v>100</v>
      </c>
      <c r="D102">
        <v>15</v>
      </c>
      <c r="E102">
        <v>4076.19</v>
      </c>
      <c r="F102" s="2">
        <v>37964</v>
      </c>
      <c r="G102" s="2" t="str">
        <f t="shared" si="1"/>
        <v>Dec</v>
      </c>
      <c r="H102" t="s">
        <v>26</v>
      </c>
      <c r="I102">
        <v>4</v>
      </c>
      <c r="J102">
        <v>12</v>
      </c>
      <c r="K102">
        <v>2003</v>
      </c>
      <c r="L102" t="s">
        <v>198</v>
      </c>
      <c r="M102">
        <v>147</v>
      </c>
      <c r="N102" t="s">
        <v>453</v>
      </c>
      <c r="O102" t="s">
        <v>467</v>
      </c>
      <c r="P102">
        <v>6175552555</v>
      </c>
      <c r="Q102" t="s">
        <v>468</v>
      </c>
      <c r="R102" t="s">
        <v>755</v>
      </c>
      <c r="S102" t="s">
        <v>426</v>
      </c>
      <c r="T102" t="s">
        <v>133</v>
      </c>
      <c r="U102">
        <v>51003</v>
      </c>
      <c r="V102" t="s">
        <v>33</v>
      </c>
      <c r="W102" t="s">
        <v>34</v>
      </c>
      <c r="X102" t="s">
        <v>469</v>
      </c>
      <c r="Y102" t="s">
        <v>305</v>
      </c>
      <c r="Z102" t="s">
        <v>52</v>
      </c>
    </row>
    <row r="103" spans="1:26" x14ac:dyDescent="0.3">
      <c r="A103">
        <v>10208</v>
      </c>
      <c r="B103">
        <v>46</v>
      </c>
      <c r="C103">
        <v>100</v>
      </c>
      <c r="D103">
        <v>13</v>
      </c>
      <c r="E103">
        <v>8602.92</v>
      </c>
      <c r="F103" s="2">
        <v>37988</v>
      </c>
      <c r="G103" s="2" t="str">
        <f t="shared" si="1"/>
        <v>Jan</v>
      </c>
      <c r="H103" t="s">
        <v>26</v>
      </c>
      <c r="I103">
        <v>1</v>
      </c>
      <c r="J103">
        <v>1</v>
      </c>
      <c r="K103">
        <v>2004</v>
      </c>
      <c r="L103" t="s">
        <v>198</v>
      </c>
      <c r="M103">
        <v>207</v>
      </c>
      <c r="N103" t="s">
        <v>536</v>
      </c>
      <c r="O103" t="s">
        <v>243</v>
      </c>
      <c r="P103" t="s">
        <v>244</v>
      </c>
      <c r="Q103" t="s">
        <v>245</v>
      </c>
      <c r="R103" t="s">
        <v>755</v>
      </c>
      <c r="S103" t="s">
        <v>246</v>
      </c>
      <c r="T103" t="s">
        <v>755</v>
      </c>
      <c r="U103">
        <v>69004</v>
      </c>
      <c r="V103" t="s">
        <v>42</v>
      </c>
      <c r="W103" t="s">
        <v>43</v>
      </c>
      <c r="X103" t="s">
        <v>247</v>
      </c>
      <c r="Y103" t="s">
        <v>248</v>
      </c>
      <c r="Z103" t="s">
        <v>165</v>
      </c>
    </row>
    <row r="104" spans="1:26" x14ac:dyDescent="0.3">
      <c r="A104">
        <v>10209</v>
      </c>
      <c r="B104">
        <v>39</v>
      </c>
      <c r="C104">
        <v>100</v>
      </c>
      <c r="D104">
        <v>8</v>
      </c>
      <c r="E104">
        <v>5197.92</v>
      </c>
      <c r="F104" s="2">
        <v>37995</v>
      </c>
      <c r="G104" s="2" t="str">
        <f t="shared" si="1"/>
        <v>Jan</v>
      </c>
      <c r="H104" t="s">
        <v>26</v>
      </c>
      <c r="I104">
        <v>1</v>
      </c>
      <c r="J104">
        <v>1</v>
      </c>
      <c r="K104">
        <v>2004</v>
      </c>
      <c r="L104" t="s">
        <v>198</v>
      </c>
      <c r="M104">
        <v>136</v>
      </c>
      <c r="N104" t="s">
        <v>358</v>
      </c>
      <c r="O104" t="s">
        <v>399</v>
      </c>
      <c r="P104">
        <v>2155554369</v>
      </c>
      <c r="Q104" t="s">
        <v>400</v>
      </c>
      <c r="R104" t="s">
        <v>755</v>
      </c>
      <c r="S104" t="s">
        <v>401</v>
      </c>
      <c r="T104" t="s">
        <v>57</v>
      </c>
      <c r="U104" t="s">
        <v>755</v>
      </c>
      <c r="V104" t="s">
        <v>33</v>
      </c>
      <c r="W104" t="s">
        <v>34</v>
      </c>
      <c r="X104" t="s">
        <v>402</v>
      </c>
      <c r="Y104" t="s">
        <v>109</v>
      </c>
      <c r="Z104" t="s">
        <v>52</v>
      </c>
    </row>
    <row r="105" spans="1:26" x14ac:dyDescent="0.3">
      <c r="A105">
        <v>10210</v>
      </c>
      <c r="B105">
        <v>23</v>
      </c>
      <c r="C105">
        <v>100</v>
      </c>
      <c r="D105">
        <v>2</v>
      </c>
      <c r="E105">
        <v>3009.09</v>
      </c>
      <c r="F105" s="2">
        <v>37998</v>
      </c>
      <c r="G105" s="2" t="str">
        <f t="shared" si="1"/>
        <v>Jan</v>
      </c>
      <c r="H105" t="s">
        <v>26</v>
      </c>
      <c r="I105">
        <v>1</v>
      </c>
      <c r="J105">
        <v>1</v>
      </c>
      <c r="K105">
        <v>2004</v>
      </c>
      <c r="L105" t="s">
        <v>27</v>
      </c>
      <c r="M105">
        <v>118</v>
      </c>
      <c r="N105" t="s">
        <v>336</v>
      </c>
      <c r="O105" t="s">
        <v>337</v>
      </c>
      <c r="P105" t="s">
        <v>338</v>
      </c>
      <c r="Q105" t="s">
        <v>339</v>
      </c>
      <c r="R105" t="s">
        <v>755</v>
      </c>
      <c r="S105" t="s">
        <v>340</v>
      </c>
      <c r="T105" t="s">
        <v>340</v>
      </c>
      <c r="U105" t="s">
        <v>341</v>
      </c>
      <c r="V105" t="s">
        <v>221</v>
      </c>
      <c r="W105" t="s">
        <v>221</v>
      </c>
      <c r="X105" t="s">
        <v>342</v>
      </c>
      <c r="Y105" t="s">
        <v>343</v>
      </c>
      <c r="Z105" t="s">
        <v>52</v>
      </c>
    </row>
    <row r="106" spans="1:26" x14ac:dyDescent="0.3">
      <c r="A106">
        <v>10211</v>
      </c>
      <c r="B106">
        <v>41</v>
      </c>
      <c r="C106">
        <v>100</v>
      </c>
      <c r="D106">
        <v>14</v>
      </c>
      <c r="E106">
        <v>4708.4399999999996</v>
      </c>
      <c r="F106" s="2">
        <v>38001</v>
      </c>
      <c r="G106" s="2" t="str">
        <f t="shared" si="1"/>
        <v>Jan</v>
      </c>
      <c r="H106" t="s">
        <v>26</v>
      </c>
      <c r="I106">
        <v>1</v>
      </c>
      <c r="J106">
        <v>1</v>
      </c>
      <c r="K106">
        <v>2004</v>
      </c>
      <c r="L106" t="s">
        <v>27</v>
      </c>
      <c r="M106">
        <v>95</v>
      </c>
      <c r="N106" t="s">
        <v>28</v>
      </c>
      <c r="O106" t="s">
        <v>89</v>
      </c>
      <c r="P106" t="s">
        <v>90</v>
      </c>
      <c r="Q106" t="s">
        <v>91</v>
      </c>
      <c r="R106" t="s">
        <v>755</v>
      </c>
      <c r="S106" t="s">
        <v>49</v>
      </c>
      <c r="T106" t="s">
        <v>755</v>
      </c>
      <c r="U106">
        <v>75016</v>
      </c>
      <c r="V106" t="s">
        <v>42</v>
      </c>
      <c r="W106" t="s">
        <v>43</v>
      </c>
      <c r="X106" t="s">
        <v>92</v>
      </c>
      <c r="Y106" t="s">
        <v>93</v>
      </c>
      <c r="Z106" t="s">
        <v>52</v>
      </c>
    </row>
    <row r="107" spans="1:26" x14ac:dyDescent="0.3">
      <c r="A107">
        <v>10212</v>
      </c>
      <c r="B107">
        <v>39</v>
      </c>
      <c r="C107">
        <v>100</v>
      </c>
      <c r="D107">
        <v>16</v>
      </c>
      <c r="E107">
        <v>4946.76</v>
      </c>
      <c r="F107" s="2">
        <v>38002</v>
      </c>
      <c r="G107" s="2" t="str">
        <f t="shared" si="1"/>
        <v>Jan</v>
      </c>
      <c r="H107" t="s">
        <v>26</v>
      </c>
      <c r="I107">
        <v>1</v>
      </c>
      <c r="J107">
        <v>1</v>
      </c>
      <c r="K107">
        <v>2004</v>
      </c>
      <c r="L107" t="s">
        <v>198</v>
      </c>
      <c r="M107">
        <v>117</v>
      </c>
      <c r="N107" t="s">
        <v>586</v>
      </c>
      <c r="O107" t="s">
        <v>190</v>
      </c>
      <c r="P107" t="s">
        <v>191</v>
      </c>
      <c r="Q107" t="s">
        <v>192</v>
      </c>
      <c r="R107" t="s">
        <v>755</v>
      </c>
      <c r="S107" t="s">
        <v>193</v>
      </c>
      <c r="T107" t="s">
        <v>755</v>
      </c>
      <c r="U107">
        <v>28034</v>
      </c>
      <c r="V107" t="s">
        <v>194</v>
      </c>
      <c r="W107" t="s">
        <v>43</v>
      </c>
      <c r="X107" t="s">
        <v>195</v>
      </c>
      <c r="Y107" t="s">
        <v>196</v>
      </c>
      <c r="Z107" t="s">
        <v>52</v>
      </c>
    </row>
    <row r="108" spans="1:26" x14ac:dyDescent="0.3">
      <c r="A108">
        <v>10213</v>
      </c>
      <c r="B108">
        <v>38</v>
      </c>
      <c r="C108">
        <v>94.79</v>
      </c>
      <c r="D108">
        <v>1</v>
      </c>
      <c r="E108">
        <v>3602.02</v>
      </c>
      <c r="F108" s="2">
        <v>38008</v>
      </c>
      <c r="G108" s="2" t="str">
        <f t="shared" si="1"/>
        <v>Jan</v>
      </c>
      <c r="H108" t="s">
        <v>26</v>
      </c>
      <c r="I108">
        <v>1</v>
      </c>
      <c r="J108">
        <v>1</v>
      </c>
      <c r="K108">
        <v>2004</v>
      </c>
      <c r="L108" t="s">
        <v>630</v>
      </c>
      <c r="M108">
        <v>92</v>
      </c>
      <c r="N108" t="s">
        <v>725</v>
      </c>
      <c r="O108" t="s">
        <v>386</v>
      </c>
      <c r="P108" t="s">
        <v>387</v>
      </c>
      <c r="Q108" t="s">
        <v>388</v>
      </c>
      <c r="R108" t="s">
        <v>755</v>
      </c>
      <c r="S108" t="s">
        <v>370</v>
      </c>
      <c r="T108" t="s">
        <v>755</v>
      </c>
      <c r="U108" t="s">
        <v>389</v>
      </c>
      <c r="V108" t="s">
        <v>185</v>
      </c>
      <c r="W108" t="s">
        <v>43</v>
      </c>
      <c r="X108" t="s">
        <v>390</v>
      </c>
      <c r="Y108" t="s">
        <v>391</v>
      </c>
      <c r="Z108" t="s">
        <v>52</v>
      </c>
    </row>
    <row r="109" spans="1:26" x14ac:dyDescent="0.3">
      <c r="A109">
        <v>10214</v>
      </c>
      <c r="B109">
        <v>30</v>
      </c>
      <c r="C109">
        <v>100</v>
      </c>
      <c r="D109">
        <v>7</v>
      </c>
      <c r="E109">
        <v>5967</v>
      </c>
      <c r="F109" s="2">
        <v>38012</v>
      </c>
      <c r="G109" s="2" t="str">
        <f t="shared" si="1"/>
        <v>Jan</v>
      </c>
      <c r="H109" t="s">
        <v>26</v>
      </c>
      <c r="I109">
        <v>1</v>
      </c>
      <c r="J109">
        <v>1</v>
      </c>
      <c r="K109">
        <v>2004</v>
      </c>
      <c r="L109" t="s">
        <v>630</v>
      </c>
      <c r="M109">
        <v>170</v>
      </c>
      <c r="N109" t="s">
        <v>683</v>
      </c>
      <c r="O109" t="s">
        <v>210</v>
      </c>
      <c r="P109" t="s">
        <v>211</v>
      </c>
      <c r="Q109" t="s">
        <v>212</v>
      </c>
      <c r="R109" t="s">
        <v>755</v>
      </c>
      <c r="S109" t="s">
        <v>193</v>
      </c>
      <c r="T109" t="s">
        <v>755</v>
      </c>
      <c r="U109">
        <v>28023</v>
      </c>
      <c r="V109" t="s">
        <v>194</v>
      </c>
      <c r="W109" t="s">
        <v>43</v>
      </c>
      <c r="X109" t="s">
        <v>213</v>
      </c>
      <c r="Y109" t="s">
        <v>214</v>
      </c>
      <c r="Z109" t="s">
        <v>52</v>
      </c>
    </row>
    <row r="110" spans="1:26" x14ac:dyDescent="0.3">
      <c r="A110">
        <v>10215</v>
      </c>
      <c r="B110">
        <v>35</v>
      </c>
      <c r="C110">
        <v>100</v>
      </c>
      <c r="D110">
        <v>3</v>
      </c>
      <c r="E110">
        <v>6075.3</v>
      </c>
      <c r="F110" s="2">
        <v>38015</v>
      </c>
      <c r="G110" s="2" t="str">
        <f t="shared" si="1"/>
        <v>Jan</v>
      </c>
      <c r="H110" t="s">
        <v>26</v>
      </c>
      <c r="I110">
        <v>1</v>
      </c>
      <c r="J110">
        <v>1</v>
      </c>
      <c r="K110">
        <v>2004</v>
      </c>
      <c r="L110" t="s">
        <v>198</v>
      </c>
      <c r="M110">
        <v>214</v>
      </c>
      <c r="N110" t="s">
        <v>199</v>
      </c>
      <c r="O110" t="s">
        <v>259</v>
      </c>
      <c r="P110">
        <v>3105553722</v>
      </c>
      <c r="Q110" t="s">
        <v>260</v>
      </c>
      <c r="R110" t="s">
        <v>755</v>
      </c>
      <c r="S110" t="s">
        <v>261</v>
      </c>
      <c r="T110" t="s">
        <v>57</v>
      </c>
      <c r="U110">
        <v>94019</v>
      </c>
      <c r="V110" t="s">
        <v>33</v>
      </c>
      <c r="W110" t="s">
        <v>34</v>
      </c>
      <c r="X110" t="s">
        <v>262</v>
      </c>
      <c r="Y110" t="s">
        <v>263</v>
      </c>
      <c r="Z110" t="s">
        <v>52</v>
      </c>
    </row>
    <row r="111" spans="1:26" x14ac:dyDescent="0.3">
      <c r="A111">
        <v>10216</v>
      </c>
      <c r="B111">
        <v>43</v>
      </c>
      <c r="C111">
        <v>100</v>
      </c>
      <c r="D111">
        <v>1</v>
      </c>
      <c r="E111">
        <v>5759.42</v>
      </c>
      <c r="F111" s="2">
        <v>38019</v>
      </c>
      <c r="G111" s="2" t="str">
        <f t="shared" si="1"/>
        <v>Feb</v>
      </c>
      <c r="H111" t="s">
        <v>26</v>
      </c>
      <c r="I111">
        <v>1</v>
      </c>
      <c r="J111">
        <v>2</v>
      </c>
      <c r="K111">
        <v>2004</v>
      </c>
      <c r="L111" t="s">
        <v>573</v>
      </c>
      <c r="M111">
        <v>136</v>
      </c>
      <c r="N111" t="s">
        <v>574</v>
      </c>
      <c r="O111" t="s">
        <v>295</v>
      </c>
      <c r="P111" t="s">
        <v>296</v>
      </c>
      <c r="Q111" t="s">
        <v>297</v>
      </c>
      <c r="R111" t="s">
        <v>755</v>
      </c>
      <c r="S111" t="s">
        <v>298</v>
      </c>
      <c r="T111" t="s">
        <v>755</v>
      </c>
      <c r="U111">
        <v>78000</v>
      </c>
      <c r="V111" t="s">
        <v>42</v>
      </c>
      <c r="W111" t="s">
        <v>43</v>
      </c>
      <c r="X111" t="s">
        <v>299</v>
      </c>
      <c r="Y111" t="s">
        <v>51</v>
      </c>
      <c r="Z111" t="s">
        <v>52</v>
      </c>
    </row>
    <row r="112" spans="1:26" x14ac:dyDescent="0.3">
      <c r="A112">
        <v>10217</v>
      </c>
      <c r="B112">
        <v>48</v>
      </c>
      <c r="C112">
        <v>100</v>
      </c>
      <c r="D112">
        <v>4</v>
      </c>
      <c r="E112">
        <v>7020.48</v>
      </c>
      <c r="F112" s="2">
        <v>38021</v>
      </c>
      <c r="G112" s="2" t="str">
        <f t="shared" si="1"/>
        <v>Feb</v>
      </c>
      <c r="H112" t="s">
        <v>26</v>
      </c>
      <c r="I112">
        <v>1</v>
      </c>
      <c r="J112">
        <v>2</v>
      </c>
      <c r="K112">
        <v>2004</v>
      </c>
      <c r="L112" t="s">
        <v>198</v>
      </c>
      <c r="M112">
        <v>147</v>
      </c>
      <c r="N112" t="s">
        <v>453</v>
      </c>
      <c r="O112" t="s">
        <v>470</v>
      </c>
      <c r="P112" t="s">
        <v>471</v>
      </c>
      <c r="Q112" t="s">
        <v>472</v>
      </c>
      <c r="R112" t="s">
        <v>473</v>
      </c>
      <c r="S112" t="s">
        <v>220</v>
      </c>
      <c r="T112" t="s">
        <v>755</v>
      </c>
      <c r="U112">
        <v>69045</v>
      </c>
      <c r="V112" t="s">
        <v>220</v>
      </c>
      <c r="W112" t="s">
        <v>102</v>
      </c>
      <c r="X112" t="s">
        <v>474</v>
      </c>
      <c r="Y112" t="s">
        <v>475</v>
      </c>
      <c r="Z112" t="s">
        <v>165</v>
      </c>
    </row>
    <row r="113" spans="1:26" x14ac:dyDescent="0.3">
      <c r="A113">
        <v>10219</v>
      </c>
      <c r="B113">
        <v>48</v>
      </c>
      <c r="C113">
        <v>100</v>
      </c>
      <c r="D113">
        <v>2</v>
      </c>
      <c r="E113">
        <v>4891.68</v>
      </c>
      <c r="F113" s="2">
        <v>38027</v>
      </c>
      <c r="G113" s="2" t="str">
        <f t="shared" si="1"/>
        <v>Feb</v>
      </c>
      <c r="H113" t="s">
        <v>26</v>
      </c>
      <c r="I113">
        <v>1</v>
      </c>
      <c r="J113">
        <v>2</v>
      </c>
      <c r="K113">
        <v>2004</v>
      </c>
      <c r="L113" t="s">
        <v>573</v>
      </c>
      <c r="M113">
        <v>118</v>
      </c>
      <c r="N113" t="s">
        <v>594</v>
      </c>
      <c r="O113" t="s">
        <v>602</v>
      </c>
      <c r="P113">
        <v>4155554312</v>
      </c>
      <c r="Q113" t="s">
        <v>603</v>
      </c>
      <c r="R113" t="s">
        <v>755</v>
      </c>
      <c r="S113" t="s">
        <v>604</v>
      </c>
      <c r="T113" t="s">
        <v>57</v>
      </c>
      <c r="U113">
        <v>94217</v>
      </c>
      <c r="V113" t="s">
        <v>33</v>
      </c>
      <c r="W113" t="s">
        <v>34</v>
      </c>
      <c r="X113" t="s">
        <v>605</v>
      </c>
      <c r="Y113" t="s">
        <v>451</v>
      </c>
      <c r="Z113" t="s">
        <v>52</v>
      </c>
    </row>
    <row r="114" spans="1:26" x14ac:dyDescent="0.3">
      <c r="A114">
        <v>10220</v>
      </c>
      <c r="B114">
        <v>32</v>
      </c>
      <c r="C114">
        <v>100</v>
      </c>
      <c r="D114">
        <v>2</v>
      </c>
      <c r="E114">
        <v>7181.44</v>
      </c>
      <c r="F114" s="2">
        <v>38029</v>
      </c>
      <c r="G114" s="2" t="str">
        <f t="shared" si="1"/>
        <v>Feb</v>
      </c>
      <c r="H114" t="s">
        <v>26</v>
      </c>
      <c r="I114">
        <v>1</v>
      </c>
      <c r="J114">
        <v>2</v>
      </c>
      <c r="K114">
        <v>2004</v>
      </c>
      <c r="L114" t="s">
        <v>198</v>
      </c>
      <c r="M114">
        <v>207</v>
      </c>
      <c r="N114" t="s">
        <v>536</v>
      </c>
      <c r="O114" t="s">
        <v>543</v>
      </c>
      <c r="P114" t="s">
        <v>544</v>
      </c>
      <c r="Q114" t="s">
        <v>545</v>
      </c>
      <c r="R114" t="s">
        <v>546</v>
      </c>
      <c r="S114" t="s">
        <v>547</v>
      </c>
      <c r="T114" t="s">
        <v>755</v>
      </c>
      <c r="U114">
        <v>2</v>
      </c>
      <c r="V114" t="s">
        <v>548</v>
      </c>
      <c r="W114" t="s">
        <v>43</v>
      </c>
      <c r="X114" t="s">
        <v>549</v>
      </c>
      <c r="Y114" t="s">
        <v>550</v>
      </c>
      <c r="Z114" t="s">
        <v>165</v>
      </c>
    </row>
    <row r="115" spans="1:26" x14ac:dyDescent="0.3">
      <c r="A115">
        <v>10221</v>
      </c>
      <c r="B115">
        <v>33</v>
      </c>
      <c r="C115">
        <v>100</v>
      </c>
      <c r="D115">
        <v>3</v>
      </c>
      <c r="E115">
        <v>4417.38</v>
      </c>
      <c r="F115" s="2">
        <v>38035</v>
      </c>
      <c r="G115" s="2" t="str">
        <f t="shared" si="1"/>
        <v>Feb</v>
      </c>
      <c r="H115" t="s">
        <v>26</v>
      </c>
      <c r="I115">
        <v>1</v>
      </c>
      <c r="J115">
        <v>2</v>
      </c>
      <c r="K115">
        <v>2004</v>
      </c>
      <c r="L115" t="s">
        <v>630</v>
      </c>
      <c r="M115">
        <v>136</v>
      </c>
      <c r="N115" t="s">
        <v>706</v>
      </c>
      <c r="O115" t="s">
        <v>409</v>
      </c>
      <c r="P115" t="s">
        <v>410</v>
      </c>
      <c r="Q115" t="s">
        <v>411</v>
      </c>
      <c r="R115" t="s">
        <v>755</v>
      </c>
      <c r="S115" t="s">
        <v>412</v>
      </c>
      <c r="T115" t="s">
        <v>755</v>
      </c>
      <c r="U115" t="s">
        <v>413</v>
      </c>
      <c r="V115" t="s">
        <v>414</v>
      </c>
      <c r="W115" t="s">
        <v>43</v>
      </c>
      <c r="X115" t="s">
        <v>415</v>
      </c>
      <c r="Y115" t="s">
        <v>416</v>
      </c>
      <c r="Z115" t="s">
        <v>52</v>
      </c>
    </row>
    <row r="116" spans="1:26" x14ac:dyDescent="0.3">
      <c r="A116">
        <v>10222</v>
      </c>
      <c r="B116">
        <v>49</v>
      </c>
      <c r="C116">
        <v>100</v>
      </c>
      <c r="D116">
        <v>12</v>
      </c>
      <c r="E116">
        <v>5997.6</v>
      </c>
      <c r="F116" s="2">
        <v>38036</v>
      </c>
      <c r="G116" s="2" t="str">
        <f t="shared" si="1"/>
        <v>Feb</v>
      </c>
      <c r="H116" t="s">
        <v>26</v>
      </c>
      <c r="I116">
        <v>1</v>
      </c>
      <c r="J116">
        <v>2</v>
      </c>
      <c r="K116">
        <v>2004</v>
      </c>
      <c r="L116" t="s">
        <v>198</v>
      </c>
      <c r="M116">
        <v>136</v>
      </c>
      <c r="N116" t="s">
        <v>358</v>
      </c>
      <c r="O116" t="s">
        <v>404</v>
      </c>
      <c r="P116">
        <v>7605558146</v>
      </c>
      <c r="Q116" t="s">
        <v>405</v>
      </c>
      <c r="R116" t="s">
        <v>755</v>
      </c>
      <c r="S116" t="s">
        <v>406</v>
      </c>
      <c r="T116" t="s">
        <v>57</v>
      </c>
      <c r="U116">
        <v>91217</v>
      </c>
      <c r="V116" t="s">
        <v>33</v>
      </c>
      <c r="W116" t="s">
        <v>34</v>
      </c>
      <c r="X116" t="s">
        <v>262</v>
      </c>
      <c r="Y116" t="s">
        <v>305</v>
      </c>
      <c r="Z116" t="s">
        <v>52</v>
      </c>
    </row>
    <row r="117" spans="1:26" x14ac:dyDescent="0.3">
      <c r="A117">
        <v>10223</v>
      </c>
      <c r="B117">
        <v>37</v>
      </c>
      <c r="C117">
        <v>100</v>
      </c>
      <c r="D117">
        <v>1</v>
      </c>
      <c r="E117">
        <v>3965.66</v>
      </c>
      <c r="F117" s="2">
        <v>38037</v>
      </c>
      <c r="G117" s="2" t="str">
        <f t="shared" si="1"/>
        <v>Feb</v>
      </c>
      <c r="H117" t="s">
        <v>26</v>
      </c>
      <c r="I117">
        <v>1</v>
      </c>
      <c r="J117">
        <v>2</v>
      </c>
      <c r="K117">
        <v>2004</v>
      </c>
      <c r="L117" t="s">
        <v>27</v>
      </c>
      <c r="M117">
        <v>95</v>
      </c>
      <c r="N117" t="s">
        <v>28</v>
      </c>
      <c r="O117" t="s">
        <v>95</v>
      </c>
      <c r="P117" t="s">
        <v>96</v>
      </c>
      <c r="Q117" t="s">
        <v>97</v>
      </c>
      <c r="R117" t="s">
        <v>98</v>
      </c>
      <c r="S117" t="s">
        <v>99</v>
      </c>
      <c r="T117" t="s">
        <v>100</v>
      </c>
      <c r="U117">
        <v>3004</v>
      </c>
      <c r="V117" t="s">
        <v>101</v>
      </c>
      <c r="W117" t="s">
        <v>102</v>
      </c>
      <c r="X117" t="s">
        <v>103</v>
      </c>
      <c r="Y117" t="s">
        <v>104</v>
      </c>
      <c r="Z117" t="s">
        <v>52</v>
      </c>
    </row>
    <row r="118" spans="1:26" x14ac:dyDescent="0.3">
      <c r="A118">
        <v>10224</v>
      </c>
      <c r="B118">
        <v>43</v>
      </c>
      <c r="C118">
        <v>100</v>
      </c>
      <c r="D118">
        <v>6</v>
      </c>
      <c r="E118">
        <v>6087.94</v>
      </c>
      <c r="F118" s="2">
        <v>38038</v>
      </c>
      <c r="G118" s="2" t="str">
        <f t="shared" si="1"/>
        <v>Feb</v>
      </c>
      <c r="H118" t="s">
        <v>26</v>
      </c>
      <c r="I118">
        <v>1</v>
      </c>
      <c r="J118">
        <v>2</v>
      </c>
      <c r="K118">
        <v>2004</v>
      </c>
      <c r="L118" t="s">
        <v>27</v>
      </c>
      <c r="M118">
        <v>150</v>
      </c>
      <c r="N118" t="s">
        <v>575</v>
      </c>
      <c r="O118" t="s">
        <v>70</v>
      </c>
      <c r="P118" t="s">
        <v>71</v>
      </c>
      <c r="Q118" t="s">
        <v>72</v>
      </c>
      <c r="R118" t="s">
        <v>755</v>
      </c>
      <c r="S118" t="s">
        <v>73</v>
      </c>
      <c r="T118" t="s">
        <v>755</v>
      </c>
      <c r="U118">
        <v>59000</v>
      </c>
      <c r="V118" t="s">
        <v>42</v>
      </c>
      <c r="W118" t="s">
        <v>43</v>
      </c>
      <c r="X118" t="s">
        <v>74</v>
      </c>
      <c r="Y118" t="s">
        <v>75</v>
      </c>
      <c r="Z118" t="s">
        <v>52</v>
      </c>
    </row>
    <row r="119" spans="1:26" x14ac:dyDescent="0.3">
      <c r="A119">
        <v>10225</v>
      </c>
      <c r="B119">
        <v>27</v>
      </c>
      <c r="C119">
        <v>100</v>
      </c>
      <c r="D119">
        <v>9</v>
      </c>
      <c r="E119">
        <v>4517.91</v>
      </c>
      <c r="F119" s="2">
        <v>38039</v>
      </c>
      <c r="G119" s="2" t="str">
        <f t="shared" si="1"/>
        <v>Feb</v>
      </c>
      <c r="H119" t="s">
        <v>26</v>
      </c>
      <c r="I119">
        <v>1</v>
      </c>
      <c r="J119">
        <v>2</v>
      </c>
      <c r="K119">
        <v>2004</v>
      </c>
      <c r="L119" t="s">
        <v>198</v>
      </c>
      <c r="M119">
        <v>194</v>
      </c>
      <c r="N119" t="s">
        <v>480</v>
      </c>
      <c r="O119" t="s">
        <v>504</v>
      </c>
      <c r="P119" t="s">
        <v>505</v>
      </c>
      <c r="Q119" t="s">
        <v>506</v>
      </c>
      <c r="R119" t="s">
        <v>755</v>
      </c>
      <c r="S119" t="s">
        <v>507</v>
      </c>
      <c r="T119" t="s">
        <v>755</v>
      </c>
      <c r="U119">
        <v>1203</v>
      </c>
      <c r="V119" t="s">
        <v>508</v>
      </c>
      <c r="W119" t="s">
        <v>43</v>
      </c>
      <c r="X119" t="s">
        <v>509</v>
      </c>
      <c r="Y119" t="s">
        <v>109</v>
      </c>
      <c r="Z119" t="s">
        <v>52</v>
      </c>
    </row>
    <row r="120" spans="1:26" x14ac:dyDescent="0.3">
      <c r="A120">
        <v>10226</v>
      </c>
      <c r="B120">
        <v>38</v>
      </c>
      <c r="C120">
        <v>100</v>
      </c>
      <c r="D120">
        <v>4</v>
      </c>
      <c r="E120">
        <v>4161.38</v>
      </c>
      <c r="F120" s="2">
        <v>38043</v>
      </c>
      <c r="G120" s="2" t="str">
        <f t="shared" si="1"/>
        <v>Feb</v>
      </c>
      <c r="H120" t="s">
        <v>26</v>
      </c>
      <c r="I120">
        <v>1</v>
      </c>
      <c r="J120">
        <v>2</v>
      </c>
      <c r="K120">
        <v>2004</v>
      </c>
      <c r="L120" t="s">
        <v>198</v>
      </c>
      <c r="M120">
        <v>124</v>
      </c>
      <c r="N120" t="s">
        <v>653</v>
      </c>
      <c r="O120" t="s">
        <v>404</v>
      </c>
      <c r="P120">
        <v>7605558146</v>
      </c>
      <c r="Q120" t="s">
        <v>405</v>
      </c>
      <c r="R120" t="s">
        <v>755</v>
      </c>
      <c r="S120" t="s">
        <v>406</v>
      </c>
      <c r="T120" t="s">
        <v>57</v>
      </c>
      <c r="U120">
        <v>91217</v>
      </c>
      <c r="V120" t="s">
        <v>33</v>
      </c>
      <c r="W120" t="s">
        <v>34</v>
      </c>
      <c r="X120" t="s">
        <v>262</v>
      </c>
      <c r="Y120" t="s">
        <v>305</v>
      </c>
      <c r="Z120" t="s">
        <v>52</v>
      </c>
    </row>
    <row r="121" spans="1:26" x14ac:dyDescent="0.3">
      <c r="A121">
        <v>10227</v>
      </c>
      <c r="B121">
        <v>25</v>
      </c>
      <c r="C121">
        <v>100</v>
      </c>
      <c r="D121">
        <v>3</v>
      </c>
      <c r="E121">
        <v>2953.75</v>
      </c>
      <c r="F121" s="2">
        <v>38048</v>
      </c>
      <c r="G121" s="2" t="str">
        <f t="shared" si="1"/>
        <v>Mar</v>
      </c>
      <c r="H121" t="s">
        <v>26</v>
      </c>
      <c r="I121">
        <v>1</v>
      </c>
      <c r="J121">
        <v>3</v>
      </c>
      <c r="K121">
        <v>2004</v>
      </c>
      <c r="L121" t="s">
        <v>630</v>
      </c>
      <c r="M121">
        <v>102</v>
      </c>
      <c r="N121" t="s">
        <v>631</v>
      </c>
      <c r="O121" t="s">
        <v>243</v>
      </c>
      <c r="P121" t="s">
        <v>244</v>
      </c>
      <c r="Q121" t="s">
        <v>245</v>
      </c>
      <c r="R121" t="s">
        <v>755</v>
      </c>
      <c r="S121" t="s">
        <v>246</v>
      </c>
      <c r="T121" t="s">
        <v>755</v>
      </c>
      <c r="U121">
        <v>69004</v>
      </c>
      <c r="V121" t="s">
        <v>42</v>
      </c>
      <c r="W121" t="s">
        <v>43</v>
      </c>
      <c r="X121" t="s">
        <v>247</v>
      </c>
      <c r="Y121" t="s">
        <v>248</v>
      </c>
      <c r="Z121" t="s">
        <v>37</v>
      </c>
    </row>
    <row r="122" spans="1:26" x14ac:dyDescent="0.3">
      <c r="A122">
        <v>10228</v>
      </c>
      <c r="B122">
        <v>29</v>
      </c>
      <c r="C122">
        <v>100</v>
      </c>
      <c r="D122">
        <v>2</v>
      </c>
      <c r="E122">
        <v>6463.23</v>
      </c>
      <c r="F122" s="2">
        <v>38056</v>
      </c>
      <c r="G122" s="2" t="str">
        <f t="shared" si="1"/>
        <v>Mar</v>
      </c>
      <c r="H122" t="s">
        <v>26</v>
      </c>
      <c r="I122">
        <v>1</v>
      </c>
      <c r="J122">
        <v>3</v>
      </c>
      <c r="K122">
        <v>2004</v>
      </c>
      <c r="L122" t="s">
        <v>198</v>
      </c>
      <c r="M122">
        <v>214</v>
      </c>
      <c r="N122" t="s">
        <v>199</v>
      </c>
      <c r="O122" t="s">
        <v>264</v>
      </c>
      <c r="P122">
        <v>6175555555</v>
      </c>
      <c r="Q122" t="s">
        <v>265</v>
      </c>
      <c r="R122" t="s">
        <v>755</v>
      </c>
      <c r="S122" t="s">
        <v>132</v>
      </c>
      <c r="T122" t="s">
        <v>133</v>
      </c>
      <c r="U122">
        <v>51247</v>
      </c>
      <c r="V122" t="s">
        <v>33</v>
      </c>
      <c r="W122" t="s">
        <v>34</v>
      </c>
      <c r="X122" t="s">
        <v>266</v>
      </c>
      <c r="Y122" t="s">
        <v>155</v>
      </c>
      <c r="Z122" t="s">
        <v>52</v>
      </c>
    </row>
    <row r="123" spans="1:26" x14ac:dyDescent="0.3">
      <c r="A123">
        <v>10229</v>
      </c>
      <c r="B123">
        <v>50</v>
      </c>
      <c r="C123">
        <v>100</v>
      </c>
      <c r="D123">
        <v>9</v>
      </c>
      <c r="E123">
        <v>6426.5</v>
      </c>
      <c r="F123" s="2">
        <v>38057</v>
      </c>
      <c r="G123" s="2" t="str">
        <f t="shared" si="1"/>
        <v>Mar</v>
      </c>
      <c r="H123" t="s">
        <v>26</v>
      </c>
      <c r="I123">
        <v>1</v>
      </c>
      <c r="J123">
        <v>3</v>
      </c>
      <c r="K123">
        <v>2004</v>
      </c>
      <c r="L123" t="s">
        <v>198</v>
      </c>
      <c r="M123">
        <v>147</v>
      </c>
      <c r="N123" t="s">
        <v>453</v>
      </c>
      <c r="O123" t="s">
        <v>301</v>
      </c>
      <c r="P123">
        <v>4155551450</v>
      </c>
      <c r="Q123" t="s">
        <v>302</v>
      </c>
      <c r="R123" t="s">
        <v>755</v>
      </c>
      <c r="S123" t="s">
        <v>303</v>
      </c>
      <c r="T123" t="s">
        <v>57</v>
      </c>
      <c r="U123">
        <v>97562</v>
      </c>
      <c r="V123" t="s">
        <v>33</v>
      </c>
      <c r="W123" t="s">
        <v>34</v>
      </c>
      <c r="X123" t="s">
        <v>304</v>
      </c>
      <c r="Y123" t="s">
        <v>305</v>
      </c>
      <c r="Z123" t="s">
        <v>52</v>
      </c>
    </row>
    <row r="124" spans="1:26" x14ac:dyDescent="0.3">
      <c r="A124">
        <v>10230</v>
      </c>
      <c r="B124">
        <v>43</v>
      </c>
      <c r="C124">
        <v>100</v>
      </c>
      <c r="D124">
        <v>1</v>
      </c>
      <c r="E124">
        <v>7016.31</v>
      </c>
      <c r="F124" s="2">
        <v>38061</v>
      </c>
      <c r="G124" s="2" t="str">
        <f t="shared" si="1"/>
        <v>Mar</v>
      </c>
      <c r="H124" t="s">
        <v>26</v>
      </c>
      <c r="I124">
        <v>1</v>
      </c>
      <c r="J124">
        <v>3</v>
      </c>
      <c r="K124">
        <v>2004</v>
      </c>
      <c r="L124" t="s">
        <v>198</v>
      </c>
      <c r="M124">
        <v>151</v>
      </c>
      <c r="N124" t="s">
        <v>583</v>
      </c>
      <c r="O124" t="s">
        <v>521</v>
      </c>
      <c r="P124" t="s">
        <v>522</v>
      </c>
      <c r="Q124" t="s">
        <v>523</v>
      </c>
      <c r="R124" t="s">
        <v>755</v>
      </c>
      <c r="S124" t="s">
        <v>524</v>
      </c>
      <c r="T124" t="s">
        <v>755</v>
      </c>
      <c r="U124">
        <v>60528</v>
      </c>
      <c r="V124" t="s">
        <v>500</v>
      </c>
      <c r="W124" t="s">
        <v>43</v>
      </c>
      <c r="X124" t="s">
        <v>525</v>
      </c>
      <c r="Y124" t="s">
        <v>466</v>
      </c>
      <c r="Z124" t="s">
        <v>165</v>
      </c>
    </row>
    <row r="125" spans="1:26" x14ac:dyDescent="0.3">
      <c r="A125">
        <v>10231</v>
      </c>
      <c r="B125">
        <v>42</v>
      </c>
      <c r="C125">
        <v>100</v>
      </c>
      <c r="D125">
        <v>2</v>
      </c>
      <c r="E125">
        <v>8378.58</v>
      </c>
      <c r="F125" s="2">
        <v>38065</v>
      </c>
      <c r="G125" s="2" t="str">
        <f t="shared" si="1"/>
        <v>Mar</v>
      </c>
      <c r="H125" t="s">
        <v>26</v>
      </c>
      <c r="I125">
        <v>1</v>
      </c>
      <c r="J125">
        <v>3</v>
      </c>
      <c r="K125">
        <v>2004</v>
      </c>
      <c r="L125" t="s">
        <v>198</v>
      </c>
      <c r="M125">
        <v>207</v>
      </c>
      <c r="N125" t="s">
        <v>536</v>
      </c>
      <c r="O125" t="s">
        <v>552</v>
      </c>
      <c r="P125" t="s">
        <v>553</v>
      </c>
      <c r="Q125" t="s">
        <v>554</v>
      </c>
      <c r="R125" t="s">
        <v>755</v>
      </c>
      <c r="S125" t="s">
        <v>193</v>
      </c>
      <c r="T125" t="s">
        <v>755</v>
      </c>
      <c r="U125">
        <v>28023</v>
      </c>
      <c r="V125" t="s">
        <v>194</v>
      </c>
      <c r="W125" t="s">
        <v>43</v>
      </c>
      <c r="X125" t="s">
        <v>555</v>
      </c>
      <c r="Y125" t="s">
        <v>556</v>
      </c>
      <c r="Z125" t="s">
        <v>165</v>
      </c>
    </row>
    <row r="126" spans="1:26" x14ac:dyDescent="0.3">
      <c r="A126">
        <v>10232</v>
      </c>
      <c r="B126">
        <v>22</v>
      </c>
      <c r="C126">
        <v>100</v>
      </c>
      <c r="D126">
        <v>6</v>
      </c>
      <c r="E126">
        <v>3606.02</v>
      </c>
      <c r="F126" s="2">
        <v>38066</v>
      </c>
      <c r="G126" s="2" t="str">
        <f t="shared" si="1"/>
        <v>Mar</v>
      </c>
      <c r="H126" t="s">
        <v>26</v>
      </c>
      <c r="I126">
        <v>1</v>
      </c>
      <c r="J126">
        <v>3</v>
      </c>
      <c r="K126">
        <v>2004</v>
      </c>
      <c r="L126" t="s">
        <v>630</v>
      </c>
      <c r="M126">
        <v>136</v>
      </c>
      <c r="N126" t="s">
        <v>706</v>
      </c>
      <c r="O126" t="s">
        <v>429</v>
      </c>
      <c r="P126" t="s">
        <v>430</v>
      </c>
      <c r="Q126" t="s">
        <v>431</v>
      </c>
      <c r="R126" t="s">
        <v>755</v>
      </c>
      <c r="S126" t="s">
        <v>432</v>
      </c>
      <c r="T126" t="s">
        <v>433</v>
      </c>
      <c r="U126" t="s">
        <v>434</v>
      </c>
      <c r="V126" t="s">
        <v>185</v>
      </c>
      <c r="W126" t="s">
        <v>43</v>
      </c>
      <c r="X126" t="s">
        <v>435</v>
      </c>
      <c r="Y126" t="s">
        <v>436</v>
      </c>
      <c r="Z126" t="s">
        <v>52</v>
      </c>
    </row>
    <row r="127" spans="1:26" x14ac:dyDescent="0.3">
      <c r="A127">
        <v>10233</v>
      </c>
      <c r="B127">
        <v>40</v>
      </c>
      <c r="C127">
        <v>94.71</v>
      </c>
      <c r="D127">
        <v>2</v>
      </c>
      <c r="E127">
        <v>3788.4</v>
      </c>
      <c r="F127" s="2">
        <v>38075</v>
      </c>
      <c r="G127" s="2" t="str">
        <f t="shared" si="1"/>
        <v>Mar</v>
      </c>
      <c r="H127" t="s">
        <v>26</v>
      </c>
      <c r="I127">
        <v>1</v>
      </c>
      <c r="J127">
        <v>3</v>
      </c>
      <c r="K127">
        <v>2004</v>
      </c>
      <c r="L127" t="s">
        <v>630</v>
      </c>
      <c r="M127">
        <v>88</v>
      </c>
      <c r="N127" t="s">
        <v>736</v>
      </c>
      <c r="O127" t="s">
        <v>111</v>
      </c>
      <c r="P127">
        <v>2015559350</v>
      </c>
      <c r="Q127" t="s">
        <v>112</v>
      </c>
      <c r="R127" t="s">
        <v>755</v>
      </c>
      <c r="S127" t="s">
        <v>113</v>
      </c>
      <c r="T127" t="s">
        <v>114</v>
      </c>
      <c r="U127">
        <v>94019</v>
      </c>
      <c r="V127" t="s">
        <v>33</v>
      </c>
      <c r="W127" t="s">
        <v>34</v>
      </c>
      <c r="X127" t="s">
        <v>63</v>
      </c>
      <c r="Y127" t="s">
        <v>115</v>
      </c>
      <c r="Z127" t="s">
        <v>52</v>
      </c>
    </row>
    <row r="128" spans="1:26" x14ac:dyDescent="0.3">
      <c r="A128">
        <v>10235</v>
      </c>
      <c r="B128">
        <v>24</v>
      </c>
      <c r="C128">
        <v>76.03</v>
      </c>
      <c r="D128">
        <v>3</v>
      </c>
      <c r="E128">
        <v>1824.72</v>
      </c>
      <c r="F128" s="2">
        <v>38079</v>
      </c>
      <c r="G128" s="2" t="str">
        <f t="shared" si="1"/>
        <v>Apr</v>
      </c>
      <c r="H128" t="s">
        <v>26</v>
      </c>
      <c r="I128">
        <v>2</v>
      </c>
      <c r="J128">
        <v>4</v>
      </c>
      <c r="K128">
        <v>2004</v>
      </c>
      <c r="L128" t="s">
        <v>658</v>
      </c>
      <c r="M128">
        <v>84</v>
      </c>
      <c r="N128" t="s">
        <v>695</v>
      </c>
      <c r="O128" t="s">
        <v>418</v>
      </c>
      <c r="P128" t="s">
        <v>419</v>
      </c>
      <c r="Q128" t="s">
        <v>420</v>
      </c>
      <c r="R128" t="s">
        <v>755</v>
      </c>
      <c r="S128" t="s">
        <v>421</v>
      </c>
      <c r="T128" t="s">
        <v>253</v>
      </c>
      <c r="U128" t="s">
        <v>422</v>
      </c>
      <c r="V128" t="s">
        <v>255</v>
      </c>
      <c r="W128" t="s">
        <v>34</v>
      </c>
      <c r="X128" t="s">
        <v>423</v>
      </c>
      <c r="Y128" t="s">
        <v>187</v>
      </c>
      <c r="Z128" t="s">
        <v>37</v>
      </c>
    </row>
    <row r="129" spans="1:26" x14ac:dyDescent="0.3">
      <c r="A129">
        <v>10236</v>
      </c>
      <c r="B129">
        <v>22</v>
      </c>
      <c r="C129">
        <v>100</v>
      </c>
      <c r="D129">
        <v>1</v>
      </c>
      <c r="E129">
        <v>2852.08</v>
      </c>
      <c r="F129" s="2">
        <v>38080</v>
      </c>
      <c r="G129" s="2" t="str">
        <f t="shared" si="1"/>
        <v>Apr</v>
      </c>
      <c r="H129" t="s">
        <v>26</v>
      </c>
      <c r="I129">
        <v>2</v>
      </c>
      <c r="J129">
        <v>4</v>
      </c>
      <c r="K129">
        <v>2004</v>
      </c>
      <c r="L129" t="s">
        <v>27</v>
      </c>
      <c r="M129">
        <v>118</v>
      </c>
      <c r="N129" t="s">
        <v>336</v>
      </c>
      <c r="O129" t="s">
        <v>344</v>
      </c>
      <c r="P129">
        <v>2155559857</v>
      </c>
      <c r="Q129" t="s">
        <v>345</v>
      </c>
      <c r="R129" t="s">
        <v>755</v>
      </c>
      <c r="S129" t="s">
        <v>239</v>
      </c>
      <c r="T129" t="s">
        <v>154</v>
      </c>
      <c r="U129">
        <v>71270</v>
      </c>
      <c r="V129" t="s">
        <v>33</v>
      </c>
      <c r="W129" t="s">
        <v>34</v>
      </c>
      <c r="X129" t="s">
        <v>134</v>
      </c>
      <c r="Y129" t="s">
        <v>346</v>
      </c>
      <c r="Z129" t="s">
        <v>37</v>
      </c>
    </row>
    <row r="130" spans="1:26" x14ac:dyDescent="0.3">
      <c r="A130">
        <v>10237</v>
      </c>
      <c r="B130">
        <v>23</v>
      </c>
      <c r="C130">
        <v>100</v>
      </c>
      <c r="D130">
        <v>7</v>
      </c>
      <c r="E130">
        <v>2333.12</v>
      </c>
      <c r="F130" s="2">
        <v>38082</v>
      </c>
      <c r="G130" s="2" t="str">
        <f t="shared" ref="G130:G193" si="2">TEXT(F130,"MMM")</f>
        <v>Apr</v>
      </c>
      <c r="H130" t="s">
        <v>26</v>
      </c>
      <c r="I130">
        <v>2</v>
      </c>
      <c r="J130">
        <v>4</v>
      </c>
      <c r="K130">
        <v>2004</v>
      </c>
      <c r="L130" t="s">
        <v>27</v>
      </c>
      <c r="M130">
        <v>95</v>
      </c>
      <c r="N130" t="s">
        <v>28</v>
      </c>
      <c r="O130" t="s">
        <v>105</v>
      </c>
      <c r="P130">
        <v>2125551500</v>
      </c>
      <c r="Q130" t="s">
        <v>106</v>
      </c>
      <c r="R130" t="s">
        <v>107</v>
      </c>
      <c r="S130" t="s">
        <v>31</v>
      </c>
      <c r="T130" t="s">
        <v>32</v>
      </c>
      <c r="U130">
        <v>10022</v>
      </c>
      <c r="V130" t="s">
        <v>33</v>
      </c>
      <c r="W130" t="s">
        <v>34</v>
      </c>
      <c r="X130" t="s">
        <v>108</v>
      </c>
      <c r="Y130" t="s">
        <v>109</v>
      </c>
      <c r="Z130" t="s">
        <v>37</v>
      </c>
    </row>
    <row r="131" spans="1:26" x14ac:dyDescent="0.3">
      <c r="A131">
        <v>10238</v>
      </c>
      <c r="B131">
        <v>28</v>
      </c>
      <c r="C131">
        <v>100</v>
      </c>
      <c r="D131">
        <v>3</v>
      </c>
      <c r="E131">
        <v>5774.72</v>
      </c>
      <c r="F131" s="2">
        <v>38086</v>
      </c>
      <c r="G131" s="2" t="str">
        <f t="shared" si="2"/>
        <v>Apr</v>
      </c>
      <c r="H131" t="s">
        <v>26</v>
      </c>
      <c r="I131">
        <v>2</v>
      </c>
      <c r="J131">
        <v>4</v>
      </c>
      <c r="K131">
        <v>2004</v>
      </c>
      <c r="L131" t="s">
        <v>198</v>
      </c>
      <c r="M131">
        <v>194</v>
      </c>
      <c r="N131" t="s">
        <v>480</v>
      </c>
      <c r="O131" t="s">
        <v>359</v>
      </c>
      <c r="P131" t="s">
        <v>360</v>
      </c>
      <c r="Q131" t="s">
        <v>361</v>
      </c>
      <c r="R131" t="s">
        <v>755</v>
      </c>
      <c r="S131" t="s">
        <v>362</v>
      </c>
      <c r="T131" t="s">
        <v>755</v>
      </c>
      <c r="U131">
        <v>1734</v>
      </c>
      <c r="V131" t="s">
        <v>363</v>
      </c>
      <c r="W131" t="s">
        <v>43</v>
      </c>
      <c r="X131" t="s">
        <v>364</v>
      </c>
      <c r="Y131" t="s">
        <v>365</v>
      </c>
      <c r="Z131" t="s">
        <v>52</v>
      </c>
    </row>
    <row r="132" spans="1:26" x14ac:dyDescent="0.3">
      <c r="A132">
        <v>10239</v>
      </c>
      <c r="B132">
        <v>21</v>
      </c>
      <c r="C132">
        <v>93.28</v>
      </c>
      <c r="D132">
        <v>5</v>
      </c>
      <c r="E132">
        <v>1958.88</v>
      </c>
      <c r="F132" s="2">
        <v>38089</v>
      </c>
      <c r="G132" s="2" t="str">
        <f t="shared" si="2"/>
        <v>Apr</v>
      </c>
      <c r="H132" t="s">
        <v>26</v>
      </c>
      <c r="I132">
        <v>2</v>
      </c>
      <c r="J132">
        <v>4</v>
      </c>
      <c r="K132">
        <v>2004</v>
      </c>
      <c r="L132" t="s">
        <v>198</v>
      </c>
      <c r="M132">
        <v>115</v>
      </c>
      <c r="N132" t="s">
        <v>606</v>
      </c>
      <c r="O132" t="s">
        <v>440</v>
      </c>
      <c r="P132" t="s">
        <v>441</v>
      </c>
      <c r="Q132" t="s">
        <v>442</v>
      </c>
      <c r="R132" t="s">
        <v>755</v>
      </c>
      <c r="S132" t="s">
        <v>443</v>
      </c>
      <c r="T132" t="s">
        <v>755</v>
      </c>
      <c r="U132">
        <v>90110</v>
      </c>
      <c r="V132" t="s">
        <v>141</v>
      </c>
      <c r="W132" t="s">
        <v>43</v>
      </c>
      <c r="X132" t="s">
        <v>444</v>
      </c>
      <c r="Y132" t="s">
        <v>445</v>
      </c>
      <c r="Z132" t="s">
        <v>37</v>
      </c>
    </row>
    <row r="133" spans="1:26" x14ac:dyDescent="0.3">
      <c r="A133">
        <v>10240</v>
      </c>
      <c r="B133">
        <v>41</v>
      </c>
      <c r="C133">
        <v>100</v>
      </c>
      <c r="D133">
        <v>3</v>
      </c>
      <c r="E133">
        <v>5628.89</v>
      </c>
      <c r="F133" s="2">
        <v>38090</v>
      </c>
      <c r="G133" s="2" t="str">
        <f t="shared" si="2"/>
        <v>Apr</v>
      </c>
      <c r="H133" t="s">
        <v>26</v>
      </c>
      <c r="I133">
        <v>2</v>
      </c>
      <c r="J133">
        <v>4</v>
      </c>
      <c r="K133">
        <v>2004</v>
      </c>
      <c r="L133" t="s">
        <v>198</v>
      </c>
      <c r="M133">
        <v>141</v>
      </c>
      <c r="N133" t="s">
        <v>614</v>
      </c>
      <c r="O133" t="s">
        <v>337</v>
      </c>
      <c r="P133" t="s">
        <v>338</v>
      </c>
      <c r="Q133" t="s">
        <v>339</v>
      </c>
      <c r="R133" t="s">
        <v>755</v>
      </c>
      <c r="S133" t="s">
        <v>340</v>
      </c>
      <c r="T133" t="s">
        <v>340</v>
      </c>
      <c r="U133" t="s">
        <v>341</v>
      </c>
      <c r="V133" t="s">
        <v>221</v>
      </c>
      <c r="W133" t="s">
        <v>221</v>
      </c>
      <c r="X133" t="s">
        <v>342</v>
      </c>
      <c r="Y133" t="s">
        <v>343</v>
      </c>
      <c r="Z133" t="s">
        <v>52</v>
      </c>
    </row>
    <row r="134" spans="1:26" x14ac:dyDescent="0.3">
      <c r="A134">
        <v>10241</v>
      </c>
      <c r="B134">
        <v>21</v>
      </c>
      <c r="C134">
        <v>100</v>
      </c>
      <c r="D134">
        <v>11</v>
      </c>
      <c r="E134">
        <v>2508.66</v>
      </c>
      <c r="F134" s="2">
        <v>38090</v>
      </c>
      <c r="G134" s="2" t="str">
        <f t="shared" si="2"/>
        <v>Apr</v>
      </c>
      <c r="H134" t="s">
        <v>26</v>
      </c>
      <c r="I134">
        <v>2</v>
      </c>
      <c r="J134">
        <v>4</v>
      </c>
      <c r="K134">
        <v>2004</v>
      </c>
      <c r="L134" t="s">
        <v>198</v>
      </c>
      <c r="M134">
        <v>124</v>
      </c>
      <c r="N134" t="s">
        <v>653</v>
      </c>
      <c r="O134" t="s">
        <v>608</v>
      </c>
      <c r="P134" t="s">
        <v>609</v>
      </c>
      <c r="Q134" t="s">
        <v>610</v>
      </c>
      <c r="R134" t="s">
        <v>755</v>
      </c>
      <c r="S134" t="s">
        <v>611</v>
      </c>
      <c r="T134" t="s">
        <v>755</v>
      </c>
      <c r="U134">
        <v>67000</v>
      </c>
      <c r="V134" t="s">
        <v>42</v>
      </c>
      <c r="W134" t="s">
        <v>43</v>
      </c>
      <c r="X134" t="s">
        <v>612</v>
      </c>
      <c r="Y134" t="s">
        <v>613</v>
      </c>
      <c r="Z134" t="s">
        <v>37</v>
      </c>
    </row>
    <row r="135" spans="1:26" x14ac:dyDescent="0.3">
      <c r="A135">
        <v>10242</v>
      </c>
      <c r="B135">
        <v>46</v>
      </c>
      <c r="C135">
        <v>36.93</v>
      </c>
      <c r="D135">
        <v>1</v>
      </c>
      <c r="E135">
        <v>1698.78</v>
      </c>
      <c r="F135" s="2">
        <v>38097</v>
      </c>
      <c r="G135" s="2" t="str">
        <f t="shared" si="2"/>
        <v>Apr</v>
      </c>
      <c r="H135" t="s">
        <v>26</v>
      </c>
      <c r="I135">
        <v>2</v>
      </c>
      <c r="J135">
        <v>4</v>
      </c>
      <c r="K135">
        <v>2004</v>
      </c>
      <c r="L135" t="s">
        <v>630</v>
      </c>
      <c r="M135">
        <v>41</v>
      </c>
      <c r="N135" t="s">
        <v>741</v>
      </c>
      <c r="O135" t="s">
        <v>577</v>
      </c>
      <c r="P135">
        <v>2125551957</v>
      </c>
      <c r="Q135" t="s">
        <v>578</v>
      </c>
      <c r="R135" t="s">
        <v>579</v>
      </c>
      <c r="S135" t="s">
        <v>31</v>
      </c>
      <c r="T135" t="s">
        <v>32</v>
      </c>
      <c r="U135">
        <v>10022</v>
      </c>
      <c r="V135" t="s">
        <v>33</v>
      </c>
      <c r="W135" t="s">
        <v>34</v>
      </c>
      <c r="X135" t="s">
        <v>580</v>
      </c>
      <c r="Y135" t="s">
        <v>581</v>
      </c>
      <c r="Z135" t="s">
        <v>37</v>
      </c>
    </row>
    <row r="136" spans="1:26" x14ac:dyDescent="0.3">
      <c r="A136">
        <v>10243</v>
      </c>
      <c r="B136">
        <v>47</v>
      </c>
      <c r="C136">
        <v>100</v>
      </c>
      <c r="D136">
        <v>2</v>
      </c>
      <c r="E136">
        <v>6154.18</v>
      </c>
      <c r="F136" s="2">
        <v>38103</v>
      </c>
      <c r="G136" s="2" t="str">
        <f t="shared" si="2"/>
        <v>Apr</v>
      </c>
      <c r="H136" t="s">
        <v>26</v>
      </c>
      <c r="I136">
        <v>2</v>
      </c>
      <c r="J136">
        <v>4</v>
      </c>
      <c r="K136">
        <v>2004</v>
      </c>
      <c r="L136" t="s">
        <v>630</v>
      </c>
      <c r="M136">
        <v>127</v>
      </c>
      <c r="N136" t="s">
        <v>691</v>
      </c>
      <c r="O136" t="s">
        <v>467</v>
      </c>
      <c r="P136">
        <v>6175552555</v>
      </c>
      <c r="Q136" t="s">
        <v>468</v>
      </c>
      <c r="R136" t="s">
        <v>755</v>
      </c>
      <c r="S136" t="s">
        <v>426</v>
      </c>
      <c r="T136" t="s">
        <v>133</v>
      </c>
      <c r="U136">
        <v>51003</v>
      </c>
      <c r="V136" t="s">
        <v>33</v>
      </c>
      <c r="W136" t="s">
        <v>34</v>
      </c>
      <c r="X136" t="s">
        <v>469</v>
      </c>
      <c r="Y136" t="s">
        <v>305</v>
      </c>
      <c r="Z136" t="s">
        <v>52</v>
      </c>
    </row>
    <row r="137" spans="1:26" x14ac:dyDescent="0.3">
      <c r="A137">
        <v>10244</v>
      </c>
      <c r="B137">
        <v>40</v>
      </c>
      <c r="C137">
        <v>100</v>
      </c>
      <c r="D137">
        <v>7</v>
      </c>
      <c r="E137">
        <v>4684.8</v>
      </c>
      <c r="F137" s="2">
        <v>38106</v>
      </c>
      <c r="G137" s="2" t="str">
        <f t="shared" si="2"/>
        <v>Apr</v>
      </c>
      <c r="H137" t="s">
        <v>26</v>
      </c>
      <c r="I137">
        <v>2</v>
      </c>
      <c r="J137">
        <v>4</v>
      </c>
      <c r="K137">
        <v>2004</v>
      </c>
      <c r="L137" t="s">
        <v>630</v>
      </c>
      <c r="M137">
        <v>102</v>
      </c>
      <c r="N137" t="s">
        <v>631</v>
      </c>
      <c r="O137" t="s">
        <v>190</v>
      </c>
      <c r="P137" t="s">
        <v>191</v>
      </c>
      <c r="Q137" t="s">
        <v>192</v>
      </c>
      <c r="R137" t="s">
        <v>755</v>
      </c>
      <c r="S137" t="s">
        <v>193</v>
      </c>
      <c r="T137" t="s">
        <v>755</v>
      </c>
      <c r="U137">
        <v>28034</v>
      </c>
      <c r="V137" t="s">
        <v>194</v>
      </c>
      <c r="W137" t="s">
        <v>43</v>
      </c>
      <c r="X137" t="s">
        <v>195</v>
      </c>
      <c r="Y137" t="s">
        <v>196</v>
      </c>
      <c r="Z137" t="s">
        <v>52</v>
      </c>
    </row>
    <row r="138" spans="1:26" x14ac:dyDescent="0.3">
      <c r="A138">
        <v>10245</v>
      </c>
      <c r="B138">
        <v>34</v>
      </c>
      <c r="C138">
        <v>100</v>
      </c>
      <c r="D138">
        <v>9</v>
      </c>
      <c r="E138">
        <v>6120.34</v>
      </c>
      <c r="F138" s="2">
        <v>38111</v>
      </c>
      <c r="G138" s="2" t="str">
        <f t="shared" si="2"/>
        <v>May</v>
      </c>
      <c r="H138" t="s">
        <v>26</v>
      </c>
      <c r="I138">
        <v>2</v>
      </c>
      <c r="J138">
        <v>5</v>
      </c>
      <c r="K138">
        <v>2004</v>
      </c>
      <c r="L138" t="s">
        <v>198</v>
      </c>
      <c r="M138">
        <v>214</v>
      </c>
      <c r="N138" t="s">
        <v>199</v>
      </c>
      <c r="O138" t="s">
        <v>267</v>
      </c>
      <c r="P138">
        <v>2035559545</v>
      </c>
      <c r="Q138" t="s">
        <v>268</v>
      </c>
      <c r="R138" t="s">
        <v>755</v>
      </c>
      <c r="S138" t="s">
        <v>269</v>
      </c>
      <c r="T138" t="s">
        <v>120</v>
      </c>
      <c r="U138">
        <v>97823</v>
      </c>
      <c r="V138" t="s">
        <v>33</v>
      </c>
      <c r="W138" t="s">
        <v>34</v>
      </c>
      <c r="X138" t="s">
        <v>87</v>
      </c>
      <c r="Y138" t="s">
        <v>270</v>
      </c>
      <c r="Z138" t="s">
        <v>52</v>
      </c>
    </row>
    <row r="139" spans="1:26" x14ac:dyDescent="0.3">
      <c r="A139">
        <v>10246</v>
      </c>
      <c r="B139">
        <v>46</v>
      </c>
      <c r="C139">
        <v>100</v>
      </c>
      <c r="D139">
        <v>5</v>
      </c>
      <c r="E139">
        <v>5069.66</v>
      </c>
      <c r="F139" s="2">
        <v>38112</v>
      </c>
      <c r="G139" s="2" t="str">
        <f t="shared" si="2"/>
        <v>May</v>
      </c>
      <c r="H139" t="s">
        <v>26</v>
      </c>
      <c r="I139">
        <v>2</v>
      </c>
      <c r="J139">
        <v>5</v>
      </c>
      <c r="K139">
        <v>2004</v>
      </c>
      <c r="L139" t="s">
        <v>573</v>
      </c>
      <c r="M139">
        <v>118</v>
      </c>
      <c r="N139" t="s">
        <v>594</v>
      </c>
      <c r="O139" t="s">
        <v>190</v>
      </c>
      <c r="P139" t="s">
        <v>191</v>
      </c>
      <c r="Q139" t="s">
        <v>192</v>
      </c>
      <c r="R139" t="s">
        <v>755</v>
      </c>
      <c r="S139" t="s">
        <v>193</v>
      </c>
      <c r="T139" t="s">
        <v>755</v>
      </c>
      <c r="U139">
        <v>28034</v>
      </c>
      <c r="V139" t="s">
        <v>194</v>
      </c>
      <c r="W139" t="s">
        <v>43</v>
      </c>
      <c r="X139" t="s">
        <v>195</v>
      </c>
      <c r="Y139" t="s">
        <v>196</v>
      </c>
      <c r="Z139" t="s">
        <v>52</v>
      </c>
    </row>
    <row r="140" spans="1:26" x14ac:dyDescent="0.3">
      <c r="A140">
        <v>10247</v>
      </c>
      <c r="B140">
        <v>44</v>
      </c>
      <c r="C140">
        <v>100</v>
      </c>
      <c r="D140">
        <v>2</v>
      </c>
      <c r="E140">
        <v>10606.2</v>
      </c>
      <c r="F140" s="2">
        <v>38112</v>
      </c>
      <c r="G140" s="2" t="str">
        <f t="shared" si="2"/>
        <v>May</v>
      </c>
      <c r="H140" t="s">
        <v>26</v>
      </c>
      <c r="I140">
        <v>2</v>
      </c>
      <c r="J140">
        <v>5</v>
      </c>
      <c r="K140">
        <v>2004</v>
      </c>
      <c r="L140" t="s">
        <v>198</v>
      </c>
      <c r="M140">
        <v>207</v>
      </c>
      <c r="N140" t="s">
        <v>536</v>
      </c>
      <c r="O140" t="s">
        <v>527</v>
      </c>
      <c r="P140" t="s">
        <v>528</v>
      </c>
      <c r="Q140" t="s">
        <v>529</v>
      </c>
      <c r="R140" t="s">
        <v>755</v>
      </c>
      <c r="S140" t="s">
        <v>530</v>
      </c>
      <c r="T140" t="s">
        <v>755</v>
      </c>
      <c r="U140" t="s">
        <v>531</v>
      </c>
      <c r="V140" t="s">
        <v>141</v>
      </c>
      <c r="W140" t="s">
        <v>43</v>
      </c>
      <c r="X140" t="s">
        <v>532</v>
      </c>
      <c r="Y140" t="s">
        <v>533</v>
      </c>
      <c r="Z140" t="s">
        <v>165</v>
      </c>
    </row>
    <row r="141" spans="1:26" x14ac:dyDescent="0.3">
      <c r="A141">
        <v>10248</v>
      </c>
      <c r="B141">
        <v>20</v>
      </c>
      <c r="C141">
        <v>100</v>
      </c>
      <c r="D141">
        <v>3</v>
      </c>
      <c r="E141">
        <v>2910.4</v>
      </c>
      <c r="F141" s="2">
        <v>38114</v>
      </c>
      <c r="G141" s="2" t="str">
        <f t="shared" si="2"/>
        <v>May</v>
      </c>
      <c r="H141" t="s">
        <v>378</v>
      </c>
      <c r="I141">
        <v>2</v>
      </c>
      <c r="J141">
        <v>5</v>
      </c>
      <c r="K141">
        <v>2004</v>
      </c>
      <c r="L141" t="s">
        <v>198</v>
      </c>
      <c r="M141">
        <v>136</v>
      </c>
      <c r="N141" t="s">
        <v>358</v>
      </c>
      <c r="O141" t="s">
        <v>29</v>
      </c>
      <c r="P141">
        <v>2125557818</v>
      </c>
      <c r="Q141" t="s">
        <v>30</v>
      </c>
      <c r="R141" t="s">
        <v>755</v>
      </c>
      <c r="S141" t="s">
        <v>31</v>
      </c>
      <c r="T141" t="s">
        <v>32</v>
      </c>
      <c r="U141">
        <v>10022</v>
      </c>
      <c r="V141" t="s">
        <v>33</v>
      </c>
      <c r="W141" t="s">
        <v>34</v>
      </c>
      <c r="X141" t="s">
        <v>35</v>
      </c>
      <c r="Y141" t="s">
        <v>36</v>
      </c>
      <c r="Z141" t="s">
        <v>37</v>
      </c>
    </row>
    <row r="142" spans="1:26" x14ac:dyDescent="0.3">
      <c r="A142">
        <v>10249</v>
      </c>
      <c r="B142">
        <v>46</v>
      </c>
      <c r="C142">
        <v>100</v>
      </c>
      <c r="D142">
        <v>5</v>
      </c>
      <c r="E142">
        <v>5600.5</v>
      </c>
      <c r="F142" s="2">
        <v>38115</v>
      </c>
      <c r="G142" s="2" t="str">
        <f t="shared" si="2"/>
        <v>May</v>
      </c>
      <c r="H142" t="s">
        <v>26</v>
      </c>
      <c r="I142">
        <v>2</v>
      </c>
      <c r="J142">
        <v>5</v>
      </c>
      <c r="K142">
        <v>2004</v>
      </c>
      <c r="L142" t="s">
        <v>630</v>
      </c>
      <c r="M142">
        <v>105</v>
      </c>
      <c r="N142" t="s">
        <v>721</v>
      </c>
      <c r="O142" t="s">
        <v>264</v>
      </c>
      <c r="P142">
        <v>6175555555</v>
      </c>
      <c r="Q142" t="s">
        <v>265</v>
      </c>
      <c r="R142" t="s">
        <v>755</v>
      </c>
      <c r="S142" t="s">
        <v>132</v>
      </c>
      <c r="T142" t="s">
        <v>133</v>
      </c>
      <c r="U142">
        <v>51247</v>
      </c>
      <c r="V142" t="s">
        <v>33</v>
      </c>
      <c r="W142" t="s">
        <v>34</v>
      </c>
      <c r="X142" t="s">
        <v>266</v>
      </c>
      <c r="Y142" t="s">
        <v>155</v>
      </c>
      <c r="Z142" t="s">
        <v>52</v>
      </c>
    </row>
    <row r="143" spans="1:26" x14ac:dyDescent="0.3">
      <c r="A143">
        <v>10250</v>
      </c>
      <c r="B143">
        <v>45</v>
      </c>
      <c r="C143">
        <v>100</v>
      </c>
      <c r="D143">
        <v>14</v>
      </c>
      <c r="E143">
        <v>8160.3</v>
      </c>
      <c r="F143" s="2">
        <v>38118</v>
      </c>
      <c r="G143" s="2" t="str">
        <f t="shared" si="2"/>
        <v>May</v>
      </c>
      <c r="H143" t="s">
        <v>26</v>
      </c>
      <c r="I143">
        <v>2</v>
      </c>
      <c r="J143">
        <v>5</v>
      </c>
      <c r="K143">
        <v>2004</v>
      </c>
      <c r="L143" t="s">
        <v>658</v>
      </c>
      <c r="M143">
        <v>157</v>
      </c>
      <c r="N143" t="s">
        <v>659</v>
      </c>
      <c r="O143" t="s">
        <v>448</v>
      </c>
      <c r="P143">
        <v>4085553659</v>
      </c>
      <c r="Q143" t="s">
        <v>449</v>
      </c>
      <c r="R143" t="s">
        <v>755</v>
      </c>
      <c r="S143" t="s">
        <v>450</v>
      </c>
      <c r="T143" t="s">
        <v>57</v>
      </c>
      <c r="U143">
        <v>94217</v>
      </c>
      <c r="V143" t="s">
        <v>33</v>
      </c>
      <c r="W143" t="s">
        <v>34</v>
      </c>
      <c r="X143" t="s">
        <v>108</v>
      </c>
      <c r="Y143" t="s">
        <v>451</v>
      </c>
      <c r="Z143" t="s">
        <v>165</v>
      </c>
    </row>
    <row r="144" spans="1:26" x14ac:dyDescent="0.3">
      <c r="A144">
        <v>10251</v>
      </c>
      <c r="B144">
        <v>28</v>
      </c>
      <c r="C144">
        <v>100</v>
      </c>
      <c r="D144">
        <v>2</v>
      </c>
      <c r="E144">
        <v>3188.64</v>
      </c>
      <c r="F144" s="2">
        <v>38125</v>
      </c>
      <c r="G144" s="2" t="str">
        <f t="shared" si="2"/>
        <v>May</v>
      </c>
      <c r="H144" t="s">
        <v>26</v>
      </c>
      <c r="I144">
        <v>2</v>
      </c>
      <c r="J144">
        <v>5</v>
      </c>
      <c r="K144">
        <v>2004</v>
      </c>
      <c r="L144" t="s">
        <v>27</v>
      </c>
      <c r="M144">
        <v>95</v>
      </c>
      <c r="N144" t="s">
        <v>28</v>
      </c>
      <c r="O144" t="s">
        <v>111</v>
      </c>
      <c r="P144">
        <v>2015559350</v>
      </c>
      <c r="Q144" t="s">
        <v>112</v>
      </c>
      <c r="R144" t="s">
        <v>755</v>
      </c>
      <c r="S144" t="s">
        <v>113</v>
      </c>
      <c r="T144" t="s">
        <v>114</v>
      </c>
      <c r="U144">
        <v>94019</v>
      </c>
      <c r="V144" t="s">
        <v>33</v>
      </c>
      <c r="W144" t="s">
        <v>34</v>
      </c>
      <c r="X144" t="s">
        <v>63</v>
      </c>
      <c r="Y144" t="s">
        <v>115</v>
      </c>
      <c r="Z144" t="s">
        <v>52</v>
      </c>
    </row>
    <row r="145" spans="1:26" x14ac:dyDescent="0.3">
      <c r="A145">
        <v>10252</v>
      </c>
      <c r="B145">
        <v>20</v>
      </c>
      <c r="C145">
        <v>76.39</v>
      </c>
      <c r="D145">
        <v>2</v>
      </c>
      <c r="E145">
        <v>1527.8</v>
      </c>
      <c r="F145" s="2">
        <v>38133</v>
      </c>
      <c r="G145" s="2" t="str">
        <f t="shared" si="2"/>
        <v>May</v>
      </c>
      <c r="H145" t="s">
        <v>26</v>
      </c>
      <c r="I145">
        <v>2</v>
      </c>
      <c r="J145">
        <v>5</v>
      </c>
      <c r="K145">
        <v>2004</v>
      </c>
      <c r="L145" t="s">
        <v>198</v>
      </c>
      <c r="M145">
        <v>80</v>
      </c>
      <c r="N145" t="s">
        <v>714</v>
      </c>
      <c r="O145" t="s">
        <v>89</v>
      </c>
      <c r="P145" t="s">
        <v>90</v>
      </c>
      <c r="Q145" t="s">
        <v>91</v>
      </c>
      <c r="R145" t="s">
        <v>755</v>
      </c>
      <c r="S145" t="s">
        <v>49</v>
      </c>
      <c r="T145" t="s">
        <v>755</v>
      </c>
      <c r="U145">
        <v>75016</v>
      </c>
      <c r="V145" t="s">
        <v>42</v>
      </c>
      <c r="W145" t="s">
        <v>43</v>
      </c>
      <c r="X145" t="s">
        <v>92</v>
      </c>
      <c r="Y145" t="s">
        <v>93</v>
      </c>
      <c r="Z145" t="s">
        <v>37</v>
      </c>
    </row>
    <row r="146" spans="1:26" x14ac:dyDescent="0.3">
      <c r="A146">
        <v>10253</v>
      </c>
      <c r="B146">
        <v>24</v>
      </c>
      <c r="C146">
        <v>100</v>
      </c>
      <c r="D146">
        <v>13</v>
      </c>
      <c r="E146">
        <v>3922.56</v>
      </c>
      <c r="F146" s="2">
        <v>38139</v>
      </c>
      <c r="G146" s="2" t="str">
        <f t="shared" si="2"/>
        <v>Jun</v>
      </c>
      <c r="H146" t="s">
        <v>378</v>
      </c>
      <c r="I146">
        <v>2</v>
      </c>
      <c r="J146">
        <v>6</v>
      </c>
      <c r="K146">
        <v>2004</v>
      </c>
      <c r="L146" t="s">
        <v>198</v>
      </c>
      <c r="M146">
        <v>194</v>
      </c>
      <c r="N146" t="s">
        <v>480</v>
      </c>
      <c r="O146" t="s">
        <v>180</v>
      </c>
      <c r="P146" t="s">
        <v>181</v>
      </c>
      <c r="Q146" t="s">
        <v>182</v>
      </c>
      <c r="R146" t="s">
        <v>755</v>
      </c>
      <c r="S146" t="s">
        <v>183</v>
      </c>
      <c r="T146" t="s">
        <v>755</v>
      </c>
      <c r="U146" t="s">
        <v>184</v>
      </c>
      <c r="V146" t="s">
        <v>185</v>
      </c>
      <c r="W146" t="s">
        <v>43</v>
      </c>
      <c r="X146" t="s">
        <v>186</v>
      </c>
      <c r="Y146" t="s">
        <v>187</v>
      </c>
      <c r="Z146" t="s">
        <v>52</v>
      </c>
    </row>
    <row r="147" spans="1:26" x14ac:dyDescent="0.3">
      <c r="A147">
        <v>10255</v>
      </c>
      <c r="B147">
        <v>24</v>
      </c>
      <c r="C147">
        <v>100</v>
      </c>
      <c r="D147">
        <v>1</v>
      </c>
      <c r="E147">
        <v>3726</v>
      </c>
      <c r="F147" s="2">
        <v>38142</v>
      </c>
      <c r="G147" s="2" t="str">
        <f t="shared" si="2"/>
        <v>Jun</v>
      </c>
      <c r="H147" t="s">
        <v>26</v>
      </c>
      <c r="I147">
        <v>2</v>
      </c>
      <c r="J147">
        <v>6</v>
      </c>
      <c r="K147">
        <v>2004</v>
      </c>
      <c r="L147" t="s">
        <v>630</v>
      </c>
      <c r="M147">
        <v>168</v>
      </c>
      <c r="N147" t="s">
        <v>697</v>
      </c>
      <c r="O147" t="s">
        <v>608</v>
      </c>
      <c r="P147" t="s">
        <v>609</v>
      </c>
      <c r="Q147" t="s">
        <v>610</v>
      </c>
      <c r="R147" t="s">
        <v>755</v>
      </c>
      <c r="S147" t="s">
        <v>611</v>
      </c>
      <c r="T147" t="s">
        <v>755</v>
      </c>
      <c r="U147">
        <v>67000</v>
      </c>
      <c r="V147" t="s">
        <v>42</v>
      </c>
      <c r="W147" t="s">
        <v>43</v>
      </c>
      <c r="X147" t="s">
        <v>612</v>
      </c>
      <c r="Y147" t="s">
        <v>613</v>
      </c>
      <c r="Z147" t="s">
        <v>52</v>
      </c>
    </row>
    <row r="148" spans="1:26" x14ac:dyDescent="0.3">
      <c r="A148">
        <v>10256</v>
      </c>
      <c r="B148">
        <v>34</v>
      </c>
      <c r="C148">
        <v>95.55</v>
      </c>
      <c r="D148">
        <v>2</v>
      </c>
      <c r="E148">
        <v>3248.7</v>
      </c>
      <c r="F148" s="2">
        <v>38146</v>
      </c>
      <c r="G148" s="2" t="str">
        <f t="shared" si="2"/>
        <v>Jun</v>
      </c>
      <c r="H148" t="s">
        <v>26</v>
      </c>
      <c r="I148">
        <v>2</v>
      </c>
      <c r="J148">
        <v>6</v>
      </c>
      <c r="K148">
        <v>2004</v>
      </c>
      <c r="L148" t="s">
        <v>630</v>
      </c>
      <c r="M148">
        <v>102</v>
      </c>
      <c r="N148" t="s">
        <v>631</v>
      </c>
      <c r="O148" t="s">
        <v>359</v>
      </c>
      <c r="P148" t="s">
        <v>360</v>
      </c>
      <c r="Q148" t="s">
        <v>361</v>
      </c>
      <c r="R148" t="s">
        <v>755</v>
      </c>
      <c r="S148" t="s">
        <v>362</v>
      </c>
      <c r="T148" t="s">
        <v>755</v>
      </c>
      <c r="U148">
        <v>1734</v>
      </c>
      <c r="V148" t="s">
        <v>363</v>
      </c>
      <c r="W148" t="s">
        <v>43</v>
      </c>
      <c r="X148" t="s">
        <v>364</v>
      </c>
      <c r="Y148" t="s">
        <v>365</v>
      </c>
      <c r="Z148" t="s">
        <v>52</v>
      </c>
    </row>
    <row r="149" spans="1:26" x14ac:dyDescent="0.3">
      <c r="A149">
        <v>10257</v>
      </c>
      <c r="B149">
        <v>50</v>
      </c>
      <c r="C149">
        <v>88.14</v>
      </c>
      <c r="D149">
        <v>1</v>
      </c>
      <c r="E149">
        <v>4407</v>
      </c>
      <c r="F149" s="2">
        <v>38152</v>
      </c>
      <c r="G149" s="2" t="str">
        <f t="shared" si="2"/>
        <v>Jun</v>
      </c>
      <c r="H149" t="s">
        <v>26</v>
      </c>
      <c r="I149">
        <v>2</v>
      </c>
      <c r="J149">
        <v>6</v>
      </c>
      <c r="K149">
        <v>2004</v>
      </c>
      <c r="L149" t="s">
        <v>630</v>
      </c>
      <c r="M149">
        <v>101</v>
      </c>
      <c r="N149" t="s">
        <v>699</v>
      </c>
      <c r="O149" t="s">
        <v>448</v>
      </c>
      <c r="P149">
        <v>4085553659</v>
      </c>
      <c r="Q149" t="s">
        <v>449</v>
      </c>
      <c r="R149" t="s">
        <v>755</v>
      </c>
      <c r="S149" t="s">
        <v>450</v>
      </c>
      <c r="T149" t="s">
        <v>57</v>
      </c>
      <c r="U149">
        <v>94217</v>
      </c>
      <c r="V149" t="s">
        <v>33</v>
      </c>
      <c r="W149" t="s">
        <v>34</v>
      </c>
      <c r="X149" t="s">
        <v>108</v>
      </c>
      <c r="Y149" t="s">
        <v>451</v>
      </c>
      <c r="Z149" t="s">
        <v>52</v>
      </c>
    </row>
    <row r="150" spans="1:26" x14ac:dyDescent="0.3">
      <c r="A150">
        <v>10258</v>
      </c>
      <c r="B150">
        <v>32</v>
      </c>
      <c r="C150">
        <v>100</v>
      </c>
      <c r="D150">
        <v>6</v>
      </c>
      <c r="E150">
        <v>7680.64</v>
      </c>
      <c r="F150" s="2">
        <v>38153</v>
      </c>
      <c r="G150" s="2" t="str">
        <f t="shared" si="2"/>
        <v>Jun</v>
      </c>
      <c r="H150" t="s">
        <v>26</v>
      </c>
      <c r="I150">
        <v>2</v>
      </c>
      <c r="J150">
        <v>6</v>
      </c>
      <c r="K150">
        <v>2004</v>
      </c>
      <c r="L150" t="s">
        <v>198</v>
      </c>
      <c r="M150">
        <v>214</v>
      </c>
      <c r="N150" t="s">
        <v>199</v>
      </c>
      <c r="O150" t="s">
        <v>272</v>
      </c>
      <c r="P150" t="s">
        <v>273</v>
      </c>
      <c r="Q150" t="s">
        <v>274</v>
      </c>
      <c r="R150" t="s">
        <v>755</v>
      </c>
      <c r="S150" t="s">
        <v>275</v>
      </c>
      <c r="T150" t="s">
        <v>276</v>
      </c>
      <c r="U150" t="s">
        <v>277</v>
      </c>
      <c r="V150" t="s">
        <v>221</v>
      </c>
      <c r="W150" t="s">
        <v>221</v>
      </c>
      <c r="X150" t="s">
        <v>278</v>
      </c>
      <c r="Y150" t="s">
        <v>279</v>
      </c>
      <c r="Z150" t="s">
        <v>165</v>
      </c>
    </row>
    <row r="151" spans="1:26" x14ac:dyDescent="0.3">
      <c r="A151">
        <v>10259</v>
      </c>
      <c r="B151">
        <v>26</v>
      </c>
      <c r="C151">
        <v>100</v>
      </c>
      <c r="D151">
        <v>12</v>
      </c>
      <c r="E151">
        <v>4033.38</v>
      </c>
      <c r="F151" s="2">
        <v>38153</v>
      </c>
      <c r="G151" s="2" t="str">
        <f t="shared" si="2"/>
        <v>Jun</v>
      </c>
      <c r="H151" t="s">
        <v>26</v>
      </c>
      <c r="I151">
        <v>2</v>
      </c>
      <c r="J151">
        <v>6</v>
      </c>
      <c r="K151">
        <v>2004</v>
      </c>
      <c r="L151" t="s">
        <v>198</v>
      </c>
      <c r="M151">
        <v>147</v>
      </c>
      <c r="N151" t="s">
        <v>453</v>
      </c>
      <c r="O151" t="s">
        <v>470</v>
      </c>
      <c r="P151" t="s">
        <v>471</v>
      </c>
      <c r="Q151" t="s">
        <v>472</v>
      </c>
      <c r="R151" t="s">
        <v>473</v>
      </c>
      <c r="S151" t="s">
        <v>220</v>
      </c>
      <c r="T151" t="s">
        <v>755</v>
      </c>
      <c r="U151">
        <v>69045</v>
      </c>
      <c r="V151" t="s">
        <v>220</v>
      </c>
      <c r="W151" t="s">
        <v>102</v>
      </c>
      <c r="X151" t="s">
        <v>474</v>
      </c>
      <c r="Y151" t="s">
        <v>475</v>
      </c>
      <c r="Z151" t="s">
        <v>52</v>
      </c>
    </row>
    <row r="152" spans="1:26" x14ac:dyDescent="0.3">
      <c r="A152">
        <v>10261</v>
      </c>
      <c r="B152">
        <v>27</v>
      </c>
      <c r="C152">
        <v>100</v>
      </c>
      <c r="D152">
        <v>1</v>
      </c>
      <c r="E152">
        <v>3378.24</v>
      </c>
      <c r="F152" s="2">
        <v>38155</v>
      </c>
      <c r="G152" s="2" t="str">
        <f t="shared" si="2"/>
        <v>Jun</v>
      </c>
      <c r="H152" t="s">
        <v>26</v>
      </c>
      <c r="I152">
        <v>2</v>
      </c>
      <c r="J152">
        <v>6</v>
      </c>
      <c r="K152">
        <v>2004</v>
      </c>
      <c r="L152" t="s">
        <v>198</v>
      </c>
      <c r="M152">
        <v>136</v>
      </c>
      <c r="N152" t="s">
        <v>358</v>
      </c>
      <c r="O152" t="s">
        <v>325</v>
      </c>
      <c r="P152" t="s">
        <v>326</v>
      </c>
      <c r="Q152" t="s">
        <v>327</v>
      </c>
      <c r="R152" t="s">
        <v>755</v>
      </c>
      <c r="S152" t="s">
        <v>328</v>
      </c>
      <c r="T152" t="s">
        <v>329</v>
      </c>
      <c r="U152" t="s">
        <v>330</v>
      </c>
      <c r="V152" t="s">
        <v>255</v>
      </c>
      <c r="W152" t="s">
        <v>34</v>
      </c>
      <c r="X152" t="s">
        <v>331</v>
      </c>
      <c r="Y152" t="s">
        <v>332</v>
      </c>
      <c r="Z152" t="s">
        <v>52</v>
      </c>
    </row>
    <row r="153" spans="1:26" x14ac:dyDescent="0.3">
      <c r="A153">
        <v>10262</v>
      </c>
      <c r="B153">
        <v>49</v>
      </c>
      <c r="C153">
        <v>100</v>
      </c>
      <c r="D153">
        <v>9</v>
      </c>
      <c r="E153">
        <v>6567.96</v>
      </c>
      <c r="F153" s="2">
        <v>38162</v>
      </c>
      <c r="G153" s="2" t="str">
        <f t="shared" si="2"/>
        <v>Jun</v>
      </c>
      <c r="H153" t="s">
        <v>378</v>
      </c>
      <c r="I153">
        <v>2</v>
      </c>
      <c r="J153">
        <v>6</v>
      </c>
      <c r="K153">
        <v>2004</v>
      </c>
      <c r="L153" t="s">
        <v>658</v>
      </c>
      <c r="M153">
        <v>157</v>
      </c>
      <c r="N153" t="s">
        <v>659</v>
      </c>
      <c r="O153" t="s">
        <v>190</v>
      </c>
      <c r="P153" t="s">
        <v>191</v>
      </c>
      <c r="Q153" t="s">
        <v>192</v>
      </c>
      <c r="R153" t="s">
        <v>755</v>
      </c>
      <c r="S153" t="s">
        <v>193</v>
      </c>
      <c r="T153" t="s">
        <v>755</v>
      </c>
      <c r="U153">
        <v>28034</v>
      </c>
      <c r="V153" t="s">
        <v>194</v>
      </c>
      <c r="W153" t="s">
        <v>43</v>
      </c>
      <c r="X153" t="s">
        <v>195</v>
      </c>
      <c r="Y153" t="s">
        <v>196</v>
      </c>
      <c r="Z153" t="s">
        <v>52</v>
      </c>
    </row>
    <row r="154" spans="1:26" x14ac:dyDescent="0.3">
      <c r="A154">
        <v>10263</v>
      </c>
      <c r="B154">
        <v>34</v>
      </c>
      <c r="C154">
        <v>100</v>
      </c>
      <c r="D154">
        <v>2</v>
      </c>
      <c r="E154">
        <v>3676.76</v>
      </c>
      <c r="F154" s="2">
        <v>38166</v>
      </c>
      <c r="G154" s="2" t="str">
        <f t="shared" si="2"/>
        <v>Jun</v>
      </c>
      <c r="H154" t="s">
        <v>26</v>
      </c>
      <c r="I154">
        <v>2</v>
      </c>
      <c r="J154">
        <v>6</v>
      </c>
      <c r="K154">
        <v>2004</v>
      </c>
      <c r="L154" t="s">
        <v>27</v>
      </c>
      <c r="M154">
        <v>95</v>
      </c>
      <c r="N154" t="s">
        <v>28</v>
      </c>
      <c r="O154" t="s">
        <v>117</v>
      </c>
      <c r="P154">
        <v>2035552570</v>
      </c>
      <c r="Q154" t="s">
        <v>118</v>
      </c>
      <c r="R154" t="s">
        <v>755</v>
      </c>
      <c r="S154" t="s">
        <v>119</v>
      </c>
      <c r="T154" t="s">
        <v>120</v>
      </c>
      <c r="U154">
        <v>97562</v>
      </c>
      <c r="V154" t="s">
        <v>33</v>
      </c>
      <c r="W154" t="s">
        <v>34</v>
      </c>
      <c r="X154" t="s">
        <v>121</v>
      </c>
      <c r="Y154" t="s">
        <v>59</v>
      </c>
      <c r="Z154" t="s">
        <v>52</v>
      </c>
    </row>
    <row r="155" spans="1:26" x14ac:dyDescent="0.3">
      <c r="A155">
        <v>10264</v>
      </c>
      <c r="B155">
        <v>48</v>
      </c>
      <c r="C155">
        <v>54.71</v>
      </c>
      <c r="D155">
        <v>3</v>
      </c>
      <c r="E155">
        <v>2626.08</v>
      </c>
      <c r="F155" s="2">
        <v>38168</v>
      </c>
      <c r="G155" s="2" t="str">
        <f t="shared" si="2"/>
        <v>Jun</v>
      </c>
      <c r="H155" t="s">
        <v>26</v>
      </c>
      <c r="I155">
        <v>2</v>
      </c>
      <c r="J155">
        <v>6</v>
      </c>
      <c r="K155">
        <v>2004</v>
      </c>
      <c r="L155" t="s">
        <v>27</v>
      </c>
      <c r="M155">
        <v>62</v>
      </c>
      <c r="N155" t="s">
        <v>718</v>
      </c>
      <c r="O155" t="s">
        <v>424</v>
      </c>
      <c r="P155">
        <v>6175559555</v>
      </c>
      <c r="Q155" t="s">
        <v>425</v>
      </c>
      <c r="R155" t="s">
        <v>755</v>
      </c>
      <c r="S155" t="s">
        <v>426</v>
      </c>
      <c r="T155" t="s">
        <v>133</v>
      </c>
      <c r="U155">
        <v>51003</v>
      </c>
      <c r="V155" t="s">
        <v>33</v>
      </c>
      <c r="W155" t="s">
        <v>34</v>
      </c>
      <c r="X155" t="s">
        <v>427</v>
      </c>
      <c r="Y155" t="s">
        <v>69</v>
      </c>
      <c r="Z155" t="s">
        <v>37</v>
      </c>
    </row>
    <row r="156" spans="1:26" x14ac:dyDescent="0.3">
      <c r="A156">
        <v>10265</v>
      </c>
      <c r="B156">
        <v>45</v>
      </c>
      <c r="C156">
        <v>86.84</v>
      </c>
      <c r="D156">
        <v>2</v>
      </c>
      <c r="E156">
        <v>3907.8</v>
      </c>
      <c r="F156" s="2">
        <v>38170</v>
      </c>
      <c r="G156" s="2" t="str">
        <f t="shared" si="2"/>
        <v>Jul</v>
      </c>
      <c r="H156" t="s">
        <v>26</v>
      </c>
      <c r="I156">
        <v>3</v>
      </c>
      <c r="J156">
        <v>7</v>
      </c>
      <c r="K156">
        <v>2004</v>
      </c>
      <c r="L156" t="s">
        <v>198</v>
      </c>
      <c r="M156">
        <v>80</v>
      </c>
      <c r="N156" t="s">
        <v>714</v>
      </c>
      <c r="O156" t="s">
        <v>643</v>
      </c>
      <c r="P156" t="s">
        <v>644</v>
      </c>
      <c r="Q156" t="s">
        <v>645</v>
      </c>
      <c r="R156" t="s">
        <v>755</v>
      </c>
      <c r="S156" t="s">
        <v>646</v>
      </c>
      <c r="T156" t="s">
        <v>100</v>
      </c>
      <c r="U156">
        <v>3150</v>
      </c>
      <c r="V156" t="s">
        <v>101</v>
      </c>
      <c r="W156" t="s">
        <v>102</v>
      </c>
      <c r="X156" t="s">
        <v>647</v>
      </c>
      <c r="Y156" t="s">
        <v>648</v>
      </c>
      <c r="Z156" t="s">
        <v>52</v>
      </c>
    </row>
    <row r="157" spans="1:26" x14ac:dyDescent="0.3">
      <c r="A157">
        <v>10266</v>
      </c>
      <c r="B157">
        <v>44</v>
      </c>
      <c r="C157">
        <v>100</v>
      </c>
      <c r="D157">
        <v>14</v>
      </c>
      <c r="E157">
        <v>9160.36</v>
      </c>
      <c r="F157" s="2">
        <v>38174</v>
      </c>
      <c r="G157" s="2" t="str">
        <f t="shared" si="2"/>
        <v>Jul</v>
      </c>
      <c r="H157" t="s">
        <v>26</v>
      </c>
      <c r="I157">
        <v>3</v>
      </c>
      <c r="J157">
        <v>7</v>
      </c>
      <c r="K157">
        <v>2004</v>
      </c>
      <c r="L157" t="s">
        <v>198</v>
      </c>
      <c r="M157">
        <v>194</v>
      </c>
      <c r="N157" t="s">
        <v>480</v>
      </c>
      <c r="O157" t="s">
        <v>510</v>
      </c>
      <c r="P157" t="s">
        <v>511</v>
      </c>
      <c r="Q157" t="s">
        <v>512</v>
      </c>
      <c r="R157" t="s">
        <v>755</v>
      </c>
      <c r="S157" t="s">
        <v>513</v>
      </c>
      <c r="T157" t="s">
        <v>755</v>
      </c>
      <c r="U157">
        <v>42100</v>
      </c>
      <c r="V157" t="s">
        <v>286</v>
      </c>
      <c r="W157" t="s">
        <v>43</v>
      </c>
      <c r="X157" t="s">
        <v>514</v>
      </c>
      <c r="Y157" t="s">
        <v>515</v>
      </c>
      <c r="Z157" t="s">
        <v>165</v>
      </c>
    </row>
    <row r="158" spans="1:26" x14ac:dyDescent="0.3">
      <c r="A158">
        <v>10267</v>
      </c>
      <c r="B158">
        <v>36</v>
      </c>
      <c r="C158">
        <v>75.55</v>
      </c>
      <c r="D158">
        <v>1</v>
      </c>
      <c r="E158">
        <v>2719.8</v>
      </c>
      <c r="F158" s="2">
        <v>38175</v>
      </c>
      <c r="G158" s="2" t="str">
        <f t="shared" si="2"/>
        <v>Jul</v>
      </c>
      <c r="H158" t="s">
        <v>26</v>
      </c>
      <c r="I158">
        <v>3</v>
      </c>
      <c r="J158">
        <v>7</v>
      </c>
      <c r="K158">
        <v>2004</v>
      </c>
      <c r="L158" t="s">
        <v>198</v>
      </c>
      <c r="M158">
        <v>71</v>
      </c>
      <c r="N158" t="s">
        <v>728</v>
      </c>
      <c r="O158" t="s">
        <v>537</v>
      </c>
      <c r="P158">
        <v>2125557413</v>
      </c>
      <c r="Q158" t="s">
        <v>538</v>
      </c>
      <c r="R158" t="s">
        <v>539</v>
      </c>
      <c r="S158" t="s">
        <v>31</v>
      </c>
      <c r="T158" t="s">
        <v>32</v>
      </c>
      <c r="U158">
        <v>10022</v>
      </c>
      <c r="V158" t="s">
        <v>33</v>
      </c>
      <c r="W158" t="s">
        <v>34</v>
      </c>
      <c r="X158" t="s">
        <v>58</v>
      </c>
      <c r="Y158" t="s">
        <v>540</v>
      </c>
      <c r="Z158" t="s">
        <v>37</v>
      </c>
    </row>
    <row r="159" spans="1:26" x14ac:dyDescent="0.3">
      <c r="A159">
        <v>10269</v>
      </c>
      <c r="B159">
        <v>32</v>
      </c>
      <c r="C159">
        <v>63.08</v>
      </c>
      <c r="D159">
        <v>1</v>
      </c>
      <c r="E159">
        <v>2018.56</v>
      </c>
      <c r="F159" s="2">
        <v>38184</v>
      </c>
      <c r="G159" s="2" t="str">
        <f t="shared" si="2"/>
        <v>Jul</v>
      </c>
      <c r="H159" t="s">
        <v>26</v>
      </c>
      <c r="I159">
        <v>3</v>
      </c>
      <c r="J159">
        <v>7</v>
      </c>
      <c r="K159">
        <v>2004</v>
      </c>
      <c r="L159" t="s">
        <v>630</v>
      </c>
      <c r="M159">
        <v>62</v>
      </c>
      <c r="N159" t="s">
        <v>701</v>
      </c>
      <c r="O159" t="s">
        <v>158</v>
      </c>
      <c r="P159" t="s">
        <v>159</v>
      </c>
      <c r="Q159" t="s">
        <v>160</v>
      </c>
      <c r="R159" t="s">
        <v>755</v>
      </c>
      <c r="S159" t="s">
        <v>161</v>
      </c>
      <c r="T159" t="s">
        <v>755</v>
      </c>
      <c r="U159">
        <v>5020</v>
      </c>
      <c r="V159" t="s">
        <v>162</v>
      </c>
      <c r="W159" t="s">
        <v>43</v>
      </c>
      <c r="X159" t="s">
        <v>163</v>
      </c>
      <c r="Y159" t="s">
        <v>164</v>
      </c>
      <c r="Z159" t="s">
        <v>37</v>
      </c>
    </row>
    <row r="160" spans="1:26" x14ac:dyDescent="0.3">
      <c r="A160">
        <v>10270</v>
      </c>
      <c r="B160">
        <v>21</v>
      </c>
      <c r="C160">
        <v>100</v>
      </c>
      <c r="D160">
        <v>9</v>
      </c>
      <c r="E160">
        <v>4905.3900000000003</v>
      </c>
      <c r="F160" s="2">
        <v>38187</v>
      </c>
      <c r="G160" s="2" t="str">
        <f t="shared" si="2"/>
        <v>Jul</v>
      </c>
      <c r="H160" t="s">
        <v>26</v>
      </c>
      <c r="I160">
        <v>3</v>
      </c>
      <c r="J160">
        <v>7</v>
      </c>
      <c r="K160">
        <v>2004</v>
      </c>
      <c r="L160" t="s">
        <v>198</v>
      </c>
      <c r="M160">
        <v>214</v>
      </c>
      <c r="N160" t="s">
        <v>199</v>
      </c>
      <c r="O160" t="s">
        <v>167</v>
      </c>
      <c r="P160" t="s">
        <v>168</v>
      </c>
      <c r="Q160" t="s">
        <v>169</v>
      </c>
      <c r="R160" t="s">
        <v>170</v>
      </c>
      <c r="S160" t="s">
        <v>171</v>
      </c>
      <c r="T160" t="s">
        <v>172</v>
      </c>
      <c r="U160">
        <v>2067</v>
      </c>
      <c r="V160" t="s">
        <v>101</v>
      </c>
      <c r="W160" t="s">
        <v>102</v>
      </c>
      <c r="X160" t="s">
        <v>173</v>
      </c>
      <c r="Y160" t="s">
        <v>174</v>
      </c>
      <c r="Z160" t="s">
        <v>52</v>
      </c>
    </row>
    <row r="161" spans="1:26" x14ac:dyDescent="0.3">
      <c r="A161">
        <v>10271</v>
      </c>
      <c r="B161">
        <v>31</v>
      </c>
      <c r="C161">
        <v>97.17</v>
      </c>
      <c r="D161">
        <v>5</v>
      </c>
      <c r="E161">
        <v>3012.27</v>
      </c>
      <c r="F161" s="2">
        <v>38188</v>
      </c>
      <c r="G161" s="2" t="str">
        <f t="shared" si="2"/>
        <v>Jul</v>
      </c>
      <c r="H161" t="s">
        <v>26</v>
      </c>
      <c r="I161">
        <v>3</v>
      </c>
      <c r="J161">
        <v>7</v>
      </c>
      <c r="K161">
        <v>2004</v>
      </c>
      <c r="L161" t="s">
        <v>573</v>
      </c>
      <c r="M161">
        <v>118</v>
      </c>
      <c r="N161" t="s">
        <v>594</v>
      </c>
      <c r="O161" t="s">
        <v>301</v>
      </c>
      <c r="P161">
        <v>4155551450</v>
      </c>
      <c r="Q161" t="s">
        <v>302</v>
      </c>
      <c r="R161" t="s">
        <v>755</v>
      </c>
      <c r="S161" t="s">
        <v>303</v>
      </c>
      <c r="T161" t="s">
        <v>57</v>
      </c>
      <c r="U161">
        <v>97562</v>
      </c>
      <c r="V161" t="s">
        <v>33</v>
      </c>
      <c r="W161" t="s">
        <v>34</v>
      </c>
      <c r="X161" t="s">
        <v>304</v>
      </c>
      <c r="Y161" t="s">
        <v>305</v>
      </c>
      <c r="Z161" t="s">
        <v>52</v>
      </c>
    </row>
    <row r="162" spans="1:26" x14ac:dyDescent="0.3">
      <c r="A162">
        <v>10272</v>
      </c>
      <c r="B162">
        <v>35</v>
      </c>
      <c r="C162">
        <v>100</v>
      </c>
      <c r="D162">
        <v>2</v>
      </c>
      <c r="E162">
        <v>5818.4</v>
      </c>
      <c r="F162" s="2">
        <v>38188</v>
      </c>
      <c r="G162" s="2" t="str">
        <f t="shared" si="2"/>
        <v>Jul</v>
      </c>
      <c r="H162" t="s">
        <v>26</v>
      </c>
      <c r="I162">
        <v>3</v>
      </c>
      <c r="J162">
        <v>7</v>
      </c>
      <c r="K162">
        <v>2004</v>
      </c>
      <c r="L162" t="s">
        <v>198</v>
      </c>
      <c r="M162">
        <v>207</v>
      </c>
      <c r="N162" t="s">
        <v>536</v>
      </c>
      <c r="O162" t="s">
        <v>151</v>
      </c>
      <c r="P162">
        <v>2155551555</v>
      </c>
      <c r="Q162" t="s">
        <v>152</v>
      </c>
      <c r="R162" t="s">
        <v>755</v>
      </c>
      <c r="S162" t="s">
        <v>153</v>
      </c>
      <c r="T162" t="s">
        <v>154</v>
      </c>
      <c r="U162">
        <v>70267</v>
      </c>
      <c r="V162" t="s">
        <v>33</v>
      </c>
      <c r="W162" t="s">
        <v>34</v>
      </c>
      <c r="X162" t="s">
        <v>35</v>
      </c>
      <c r="Y162" t="s">
        <v>155</v>
      </c>
      <c r="Z162" t="s">
        <v>52</v>
      </c>
    </row>
    <row r="163" spans="1:26" x14ac:dyDescent="0.3">
      <c r="A163">
        <v>10273</v>
      </c>
      <c r="B163">
        <v>30</v>
      </c>
      <c r="C163">
        <v>100</v>
      </c>
      <c r="D163">
        <v>4</v>
      </c>
      <c r="E163">
        <v>3508.8</v>
      </c>
      <c r="F163" s="2">
        <v>38189</v>
      </c>
      <c r="G163" s="2" t="str">
        <f t="shared" si="2"/>
        <v>Jul</v>
      </c>
      <c r="H163" t="s">
        <v>26</v>
      </c>
      <c r="I163">
        <v>3</v>
      </c>
      <c r="J163">
        <v>7</v>
      </c>
      <c r="K163">
        <v>2004</v>
      </c>
      <c r="L163" t="s">
        <v>198</v>
      </c>
      <c r="M163">
        <v>136</v>
      </c>
      <c r="N163" t="s">
        <v>358</v>
      </c>
      <c r="O163" t="s">
        <v>409</v>
      </c>
      <c r="P163" t="s">
        <v>410</v>
      </c>
      <c r="Q163" t="s">
        <v>411</v>
      </c>
      <c r="R163" t="s">
        <v>755</v>
      </c>
      <c r="S163" t="s">
        <v>412</v>
      </c>
      <c r="T163" t="s">
        <v>755</v>
      </c>
      <c r="U163" t="s">
        <v>413</v>
      </c>
      <c r="V163" t="s">
        <v>414</v>
      </c>
      <c r="W163" t="s">
        <v>43</v>
      </c>
      <c r="X163" t="s">
        <v>415</v>
      </c>
      <c r="Y163" t="s">
        <v>416</v>
      </c>
      <c r="Z163" t="s">
        <v>52</v>
      </c>
    </row>
    <row r="164" spans="1:26" x14ac:dyDescent="0.3">
      <c r="A164">
        <v>10274</v>
      </c>
      <c r="B164">
        <v>41</v>
      </c>
      <c r="C164">
        <v>100</v>
      </c>
      <c r="D164">
        <v>1</v>
      </c>
      <c r="E164">
        <v>6724</v>
      </c>
      <c r="F164" s="2">
        <v>38189</v>
      </c>
      <c r="G164" s="2" t="str">
        <f t="shared" si="2"/>
        <v>Jul</v>
      </c>
      <c r="H164" t="s">
        <v>26</v>
      </c>
      <c r="I164">
        <v>3</v>
      </c>
      <c r="J164">
        <v>7</v>
      </c>
      <c r="K164">
        <v>2004</v>
      </c>
      <c r="L164" t="s">
        <v>658</v>
      </c>
      <c r="M164">
        <v>157</v>
      </c>
      <c r="N164" t="s">
        <v>659</v>
      </c>
      <c r="O164" t="s">
        <v>313</v>
      </c>
      <c r="P164">
        <v>6175558555</v>
      </c>
      <c r="Q164" t="s">
        <v>314</v>
      </c>
      <c r="R164" t="s">
        <v>755</v>
      </c>
      <c r="S164" t="s">
        <v>315</v>
      </c>
      <c r="T164" t="s">
        <v>133</v>
      </c>
      <c r="U164">
        <v>58339</v>
      </c>
      <c r="V164" t="s">
        <v>33</v>
      </c>
      <c r="W164" t="s">
        <v>34</v>
      </c>
      <c r="X164" t="s">
        <v>304</v>
      </c>
      <c r="Y164" t="s">
        <v>316</v>
      </c>
      <c r="Z164" t="s">
        <v>52</v>
      </c>
    </row>
    <row r="165" spans="1:26" x14ac:dyDescent="0.3">
      <c r="A165">
        <v>10275</v>
      </c>
      <c r="B165">
        <v>45</v>
      </c>
      <c r="C165">
        <v>92.83</v>
      </c>
      <c r="D165">
        <v>1</v>
      </c>
      <c r="E165">
        <v>4177.3500000000004</v>
      </c>
      <c r="F165" s="2">
        <v>38191</v>
      </c>
      <c r="G165" s="2" t="str">
        <f t="shared" si="2"/>
        <v>Jul</v>
      </c>
      <c r="H165" t="s">
        <v>26</v>
      </c>
      <c r="I165">
        <v>3</v>
      </c>
      <c r="J165">
        <v>7</v>
      </c>
      <c r="K165">
        <v>2004</v>
      </c>
      <c r="L165" t="s">
        <v>27</v>
      </c>
      <c r="M165">
        <v>95</v>
      </c>
      <c r="N165" t="s">
        <v>28</v>
      </c>
      <c r="O165" t="s">
        <v>123</v>
      </c>
      <c r="P165" t="s">
        <v>124</v>
      </c>
      <c r="Q165" t="s">
        <v>125</v>
      </c>
      <c r="R165" t="s">
        <v>755</v>
      </c>
      <c r="S165" t="s">
        <v>126</v>
      </c>
      <c r="T165" t="s">
        <v>755</v>
      </c>
      <c r="U165">
        <v>44000</v>
      </c>
      <c r="V165" t="s">
        <v>42</v>
      </c>
      <c r="W165" t="s">
        <v>43</v>
      </c>
      <c r="X165" t="s">
        <v>127</v>
      </c>
      <c r="Y165" t="s">
        <v>128</v>
      </c>
      <c r="Z165" t="s">
        <v>52</v>
      </c>
    </row>
    <row r="166" spans="1:26" x14ac:dyDescent="0.3">
      <c r="A166">
        <v>10276</v>
      </c>
      <c r="B166">
        <v>50</v>
      </c>
      <c r="C166">
        <v>100</v>
      </c>
      <c r="D166">
        <v>3</v>
      </c>
      <c r="E166">
        <v>9631</v>
      </c>
      <c r="F166" s="2">
        <v>38201</v>
      </c>
      <c r="G166" s="2" t="str">
        <f t="shared" si="2"/>
        <v>Aug</v>
      </c>
      <c r="H166" t="s">
        <v>26</v>
      </c>
      <c r="I166">
        <v>3</v>
      </c>
      <c r="J166">
        <v>8</v>
      </c>
      <c r="K166">
        <v>2004</v>
      </c>
      <c r="L166" t="s">
        <v>198</v>
      </c>
      <c r="M166">
        <v>194</v>
      </c>
      <c r="N166" t="s">
        <v>480</v>
      </c>
      <c r="O166" t="s">
        <v>516</v>
      </c>
      <c r="P166">
        <v>6175557555</v>
      </c>
      <c r="Q166" t="s">
        <v>517</v>
      </c>
      <c r="R166" t="s">
        <v>755</v>
      </c>
      <c r="S166" t="s">
        <v>315</v>
      </c>
      <c r="T166" t="s">
        <v>133</v>
      </c>
      <c r="U166">
        <v>58339</v>
      </c>
      <c r="V166" t="s">
        <v>33</v>
      </c>
      <c r="W166" t="s">
        <v>34</v>
      </c>
      <c r="X166" t="s">
        <v>518</v>
      </c>
      <c r="Y166" t="s">
        <v>519</v>
      </c>
      <c r="Z166" t="s">
        <v>165</v>
      </c>
    </row>
    <row r="167" spans="1:26" x14ac:dyDescent="0.3">
      <c r="A167">
        <v>10277</v>
      </c>
      <c r="B167">
        <v>28</v>
      </c>
      <c r="C167">
        <v>100</v>
      </c>
      <c r="D167">
        <v>1</v>
      </c>
      <c r="E167">
        <v>3127.88</v>
      </c>
      <c r="F167" s="2">
        <v>38203</v>
      </c>
      <c r="G167" s="2" t="str">
        <f t="shared" si="2"/>
        <v>Aug</v>
      </c>
      <c r="H167" t="s">
        <v>26</v>
      </c>
      <c r="I167">
        <v>3</v>
      </c>
      <c r="J167">
        <v>8</v>
      </c>
      <c r="K167">
        <v>2004</v>
      </c>
      <c r="L167" t="s">
        <v>198</v>
      </c>
      <c r="M167">
        <v>115</v>
      </c>
      <c r="N167" t="s">
        <v>606</v>
      </c>
      <c r="O167" t="s">
        <v>217</v>
      </c>
      <c r="P167" t="s">
        <v>218</v>
      </c>
      <c r="Q167" t="s">
        <v>219</v>
      </c>
      <c r="R167" t="s">
        <v>755</v>
      </c>
      <c r="S167" t="s">
        <v>220</v>
      </c>
      <c r="T167" t="s">
        <v>755</v>
      </c>
      <c r="U167">
        <v>79903</v>
      </c>
      <c r="V167" t="s">
        <v>220</v>
      </c>
      <c r="W167" t="s">
        <v>221</v>
      </c>
      <c r="X167" t="s">
        <v>222</v>
      </c>
      <c r="Y167" t="s">
        <v>223</v>
      </c>
      <c r="Z167" t="s">
        <v>52</v>
      </c>
    </row>
    <row r="168" spans="1:26" x14ac:dyDescent="0.3">
      <c r="A168">
        <v>10278</v>
      </c>
      <c r="B168">
        <v>34</v>
      </c>
      <c r="C168">
        <v>100</v>
      </c>
      <c r="D168">
        <v>6</v>
      </c>
      <c r="E168">
        <v>4667.8599999999997</v>
      </c>
      <c r="F168" s="2">
        <v>38205</v>
      </c>
      <c r="G168" s="2" t="str">
        <f t="shared" si="2"/>
        <v>Aug</v>
      </c>
      <c r="H168" t="s">
        <v>26</v>
      </c>
      <c r="I168">
        <v>3</v>
      </c>
      <c r="J168">
        <v>8</v>
      </c>
      <c r="K168">
        <v>2004</v>
      </c>
      <c r="L168" t="s">
        <v>198</v>
      </c>
      <c r="M168">
        <v>141</v>
      </c>
      <c r="N168" t="s">
        <v>614</v>
      </c>
      <c r="O168" t="s">
        <v>617</v>
      </c>
      <c r="P168">
        <v>7025551838</v>
      </c>
      <c r="Q168" t="s">
        <v>618</v>
      </c>
      <c r="R168" t="s">
        <v>755</v>
      </c>
      <c r="S168" t="s">
        <v>619</v>
      </c>
      <c r="T168" t="s">
        <v>620</v>
      </c>
      <c r="U168">
        <v>83030</v>
      </c>
      <c r="V168" t="s">
        <v>33</v>
      </c>
      <c r="W168" t="s">
        <v>34</v>
      </c>
      <c r="X168" t="s">
        <v>121</v>
      </c>
      <c r="Y168" t="s">
        <v>451</v>
      </c>
      <c r="Z168" t="s">
        <v>52</v>
      </c>
    </row>
    <row r="169" spans="1:26" x14ac:dyDescent="0.3">
      <c r="A169">
        <v>10279</v>
      </c>
      <c r="B169">
        <v>26</v>
      </c>
      <c r="C169">
        <v>60.58</v>
      </c>
      <c r="D169">
        <v>1</v>
      </c>
      <c r="E169">
        <v>1575.08</v>
      </c>
      <c r="F169" s="2">
        <v>38208</v>
      </c>
      <c r="G169" s="2" t="str">
        <f t="shared" si="2"/>
        <v>Aug</v>
      </c>
      <c r="H169" t="s">
        <v>26</v>
      </c>
      <c r="I169">
        <v>3</v>
      </c>
      <c r="J169">
        <v>8</v>
      </c>
      <c r="K169">
        <v>2004</v>
      </c>
      <c r="L169" t="s">
        <v>198</v>
      </c>
      <c r="M169">
        <v>71</v>
      </c>
      <c r="N169" t="s">
        <v>728</v>
      </c>
      <c r="O169" t="s">
        <v>190</v>
      </c>
      <c r="P169" t="s">
        <v>191</v>
      </c>
      <c r="Q169" t="s">
        <v>192</v>
      </c>
      <c r="R169" t="s">
        <v>755</v>
      </c>
      <c r="S169" t="s">
        <v>193</v>
      </c>
      <c r="T169" t="s">
        <v>755</v>
      </c>
      <c r="U169">
        <v>28034</v>
      </c>
      <c r="V169" t="s">
        <v>194</v>
      </c>
      <c r="W169" t="s">
        <v>43</v>
      </c>
      <c r="X169" t="s">
        <v>195</v>
      </c>
      <c r="Y169" t="s">
        <v>196</v>
      </c>
      <c r="Z169" t="s">
        <v>37</v>
      </c>
    </row>
    <row r="170" spans="1:26" x14ac:dyDescent="0.3">
      <c r="A170">
        <v>10280</v>
      </c>
      <c r="B170">
        <v>34</v>
      </c>
      <c r="C170">
        <v>100</v>
      </c>
      <c r="D170">
        <v>2</v>
      </c>
      <c r="E170">
        <v>8014.82</v>
      </c>
      <c r="F170" s="2">
        <v>38216</v>
      </c>
      <c r="G170" s="2" t="str">
        <f t="shared" si="2"/>
        <v>Aug</v>
      </c>
      <c r="H170" t="s">
        <v>26</v>
      </c>
      <c r="I170">
        <v>3</v>
      </c>
      <c r="J170">
        <v>8</v>
      </c>
      <c r="K170">
        <v>2004</v>
      </c>
      <c r="L170" t="s">
        <v>198</v>
      </c>
      <c r="M170">
        <v>214</v>
      </c>
      <c r="N170" t="s">
        <v>199</v>
      </c>
      <c r="O170" t="s">
        <v>282</v>
      </c>
      <c r="P170" t="s">
        <v>283</v>
      </c>
      <c r="Q170" t="s">
        <v>284</v>
      </c>
      <c r="R170" t="s">
        <v>755</v>
      </c>
      <c r="S170" t="s">
        <v>285</v>
      </c>
      <c r="T170" t="s">
        <v>755</v>
      </c>
      <c r="U170">
        <v>10100</v>
      </c>
      <c r="V170" t="s">
        <v>286</v>
      </c>
      <c r="W170" t="s">
        <v>43</v>
      </c>
      <c r="X170" t="s">
        <v>287</v>
      </c>
      <c r="Y170" t="s">
        <v>288</v>
      </c>
      <c r="Z170" t="s">
        <v>165</v>
      </c>
    </row>
    <row r="171" spans="1:26" x14ac:dyDescent="0.3">
      <c r="A171">
        <v>10281</v>
      </c>
      <c r="B171">
        <v>44</v>
      </c>
      <c r="C171">
        <v>100</v>
      </c>
      <c r="D171">
        <v>9</v>
      </c>
      <c r="E171">
        <v>7020.64</v>
      </c>
      <c r="F171" s="2">
        <v>38218</v>
      </c>
      <c r="G171" s="2" t="str">
        <f t="shared" si="2"/>
        <v>Aug</v>
      </c>
      <c r="H171" t="s">
        <v>26</v>
      </c>
      <c r="I171">
        <v>3</v>
      </c>
      <c r="J171">
        <v>8</v>
      </c>
      <c r="K171">
        <v>2004</v>
      </c>
      <c r="L171" t="s">
        <v>198</v>
      </c>
      <c r="M171">
        <v>147</v>
      </c>
      <c r="N171" t="s">
        <v>453</v>
      </c>
      <c r="O171" t="s">
        <v>151</v>
      </c>
      <c r="P171">
        <v>2155551555</v>
      </c>
      <c r="Q171" t="s">
        <v>152</v>
      </c>
      <c r="R171" t="s">
        <v>755</v>
      </c>
      <c r="S171" t="s">
        <v>153</v>
      </c>
      <c r="T171" t="s">
        <v>154</v>
      </c>
      <c r="U171">
        <v>70267</v>
      </c>
      <c r="V171" t="s">
        <v>33</v>
      </c>
      <c r="W171" t="s">
        <v>34</v>
      </c>
      <c r="X171" t="s">
        <v>35</v>
      </c>
      <c r="Y171" t="s">
        <v>155</v>
      </c>
      <c r="Z171" t="s">
        <v>165</v>
      </c>
    </row>
    <row r="172" spans="1:26" x14ac:dyDescent="0.3">
      <c r="A172">
        <v>10282</v>
      </c>
      <c r="B172">
        <v>41</v>
      </c>
      <c r="C172">
        <v>100</v>
      </c>
      <c r="D172">
        <v>5</v>
      </c>
      <c r="E172">
        <v>7071.27</v>
      </c>
      <c r="F172" s="2">
        <v>38219</v>
      </c>
      <c r="G172" s="2" t="str">
        <f t="shared" si="2"/>
        <v>Aug</v>
      </c>
      <c r="H172" t="s">
        <v>26</v>
      </c>
      <c r="I172">
        <v>3</v>
      </c>
      <c r="J172">
        <v>8</v>
      </c>
      <c r="K172">
        <v>2004</v>
      </c>
      <c r="L172" t="s">
        <v>198</v>
      </c>
      <c r="M172">
        <v>207</v>
      </c>
      <c r="N172" t="s">
        <v>536</v>
      </c>
      <c r="O172" t="s">
        <v>301</v>
      </c>
      <c r="P172">
        <v>4155551450</v>
      </c>
      <c r="Q172" t="s">
        <v>302</v>
      </c>
      <c r="R172" t="s">
        <v>755</v>
      </c>
      <c r="S172" t="s">
        <v>303</v>
      </c>
      <c r="T172" t="s">
        <v>57</v>
      </c>
      <c r="U172">
        <v>97562</v>
      </c>
      <c r="V172" t="s">
        <v>33</v>
      </c>
      <c r="W172" t="s">
        <v>34</v>
      </c>
      <c r="X172" t="s">
        <v>304</v>
      </c>
      <c r="Y172" t="s">
        <v>305</v>
      </c>
      <c r="Z172" t="s">
        <v>165</v>
      </c>
    </row>
    <row r="173" spans="1:26" x14ac:dyDescent="0.3">
      <c r="A173">
        <v>10283</v>
      </c>
      <c r="B173">
        <v>25</v>
      </c>
      <c r="C173">
        <v>100</v>
      </c>
      <c r="D173">
        <v>6</v>
      </c>
      <c r="E173">
        <v>2992</v>
      </c>
      <c r="F173" s="2">
        <v>38219</v>
      </c>
      <c r="G173" s="2" t="str">
        <f t="shared" si="2"/>
        <v>Aug</v>
      </c>
      <c r="H173" t="s">
        <v>26</v>
      </c>
      <c r="I173">
        <v>3</v>
      </c>
      <c r="J173">
        <v>8</v>
      </c>
      <c r="K173">
        <v>2004</v>
      </c>
      <c r="L173" t="s">
        <v>198</v>
      </c>
      <c r="M173">
        <v>136</v>
      </c>
      <c r="N173" t="s">
        <v>358</v>
      </c>
      <c r="O173" t="s">
        <v>418</v>
      </c>
      <c r="P173" t="s">
        <v>419</v>
      </c>
      <c r="Q173" t="s">
        <v>420</v>
      </c>
      <c r="R173" t="s">
        <v>755</v>
      </c>
      <c r="S173" t="s">
        <v>421</v>
      </c>
      <c r="T173" t="s">
        <v>253</v>
      </c>
      <c r="U173" t="s">
        <v>422</v>
      </c>
      <c r="V173" t="s">
        <v>255</v>
      </c>
      <c r="W173" t="s">
        <v>34</v>
      </c>
      <c r="X173" t="s">
        <v>423</v>
      </c>
      <c r="Y173" t="s">
        <v>187</v>
      </c>
      <c r="Z173" t="s">
        <v>37</v>
      </c>
    </row>
    <row r="174" spans="1:26" x14ac:dyDescent="0.3">
      <c r="A174">
        <v>10284</v>
      </c>
      <c r="B174">
        <v>45</v>
      </c>
      <c r="C174">
        <v>100</v>
      </c>
      <c r="D174">
        <v>11</v>
      </c>
      <c r="E174">
        <v>5747.85</v>
      </c>
      <c r="F174" s="2">
        <v>38220</v>
      </c>
      <c r="G174" s="2" t="str">
        <f t="shared" si="2"/>
        <v>Aug</v>
      </c>
      <c r="H174" t="s">
        <v>26</v>
      </c>
      <c r="I174">
        <v>3</v>
      </c>
      <c r="J174">
        <v>8</v>
      </c>
      <c r="K174">
        <v>2004</v>
      </c>
      <c r="L174" t="s">
        <v>658</v>
      </c>
      <c r="M174">
        <v>157</v>
      </c>
      <c r="N174" t="s">
        <v>659</v>
      </c>
      <c r="O174" t="s">
        <v>621</v>
      </c>
      <c r="P174" t="s">
        <v>622</v>
      </c>
      <c r="Q174" t="s">
        <v>623</v>
      </c>
      <c r="R174" t="s">
        <v>755</v>
      </c>
      <c r="S174" t="s">
        <v>624</v>
      </c>
      <c r="T174" t="s">
        <v>755</v>
      </c>
      <c r="U174" t="s">
        <v>625</v>
      </c>
      <c r="V174" t="s">
        <v>82</v>
      </c>
      <c r="W174" t="s">
        <v>43</v>
      </c>
      <c r="X174" t="s">
        <v>626</v>
      </c>
      <c r="Y174" t="s">
        <v>627</v>
      </c>
      <c r="Z174" t="s">
        <v>52</v>
      </c>
    </row>
    <row r="175" spans="1:26" x14ac:dyDescent="0.3">
      <c r="A175">
        <v>10285</v>
      </c>
      <c r="B175">
        <v>36</v>
      </c>
      <c r="C175">
        <v>100</v>
      </c>
      <c r="D175">
        <v>6</v>
      </c>
      <c r="E175">
        <v>4099.68</v>
      </c>
      <c r="F175" s="2">
        <v>38226</v>
      </c>
      <c r="G175" s="2" t="str">
        <f t="shared" si="2"/>
        <v>Aug</v>
      </c>
      <c r="H175" t="s">
        <v>26</v>
      </c>
      <c r="I175">
        <v>3</v>
      </c>
      <c r="J175">
        <v>8</v>
      </c>
      <c r="K175">
        <v>2004</v>
      </c>
      <c r="L175" t="s">
        <v>27</v>
      </c>
      <c r="M175">
        <v>95</v>
      </c>
      <c r="N175" t="s">
        <v>28</v>
      </c>
      <c r="O175" t="s">
        <v>130</v>
      </c>
      <c r="P175">
        <v>6175558555</v>
      </c>
      <c r="Q175" t="s">
        <v>131</v>
      </c>
      <c r="R175" t="s">
        <v>755</v>
      </c>
      <c r="S175" t="s">
        <v>132</v>
      </c>
      <c r="T175" t="s">
        <v>133</v>
      </c>
      <c r="U175">
        <v>51247</v>
      </c>
      <c r="V175" t="s">
        <v>33</v>
      </c>
      <c r="W175" t="s">
        <v>34</v>
      </c>
      <c r="X175" t="s">
        <v>134</v>
      </c>
      <c r="Y175" t="s">
        <v>135</v>
      </c>
      <c r="Z175" t="s">
        <v>52</v>
      </c>
    </row>
    <row r="176" spans="1:26" x14ac:dyDescent="0.3">
      <c r="A176">
        <v>10286</v>
      </c>
      <c r="B176">
        <v>38</v>
      </c>
      <c r="C176">
        <v>57.2</v>
      </c>
      <c r="D176">
        <v>1</v>
      </c>
      <c r="E176">
        <v>2173.6</v>
      </c>
      <c r="F176" s="2">
        <v>38227</v>
      </c>
      <c r="G176" s="2" t="str">
        <f t="shared" si="2"/>
        <v>Aug</v>
      </c>
      <c r="H176" t="s">
        <v>26</v>
      </c>
      <c r="I176">
        <v>3</v>
      </c>
      <c r="J176">
        <v>8</v>
      </c>
      <c r="K176">
        <v>2004</v>
      </c>
      <c r="L176" t="s">
        <v>27</v>
      </c>
      <c r="M176">
        <v>62</v>
      </c>
      <c r="N176" t="s">
        <v>718</v>
      </c>
      <c r="O176" t="s">
        <v>454</v>
      </c>
      <c r="P176" t="s">
        <v>455</v>
      </c>
      <c r="Q176" t="s">
        <v>456</v>
      </c>
      <c r="R176" t="s">
        <v>755</v>
      </c>
      <c r="S176" t="s">
        <v>49</v>
      </c>
      <c r="T176" t="s">
        <v>755</v>
      </c>
      <c r="U176">
        <v>75012</v>
      </c>
      <c r="V176" t="s">
        <v>42</v>
      </c>
      <c r="W176" t="s">
        <v>43</v>
      </c>
      <c r="X176" t="s">
        <v>457</v>
      </c>
      <c r="Y176" t="s">
        <v>458</v>
      </c>
      <c r="Z176" t="s">
        <v>37</v>
      </c>
    </row>
    <row r="177" spans="1:26" x14ac:dyDescent="0.3">
      <c r="A177">
        <v>10287</v>
      </c>
      <c r="B177">
        <v>21</v>
      </c>
      <c r="C177">
        <v>100</v>
      </c>
      <c r="D177">
        <v>12</v>
      </c>
      <c r="E177">
        <v>3432.24</v>
      </c>
      <c r="F177" s="2">
        <v>38229</v>
      </c>
      <c r="G177" s="2" t="str">
        <f t="shared" si="2"/>
        <v>Aug</v>
      </c>
      <c r="H177" t="s">
        <v>26</v>
      </c>
      <c r="I177">
        <v>3</v>
      </c>
      <c r="J177">
        <v>8</v>
      </c>
      <c r="K177">
        <v>2004</v>
      </c>
      <c r="L177" t="s">
        <v>198</v>
      </c>
      <c r="M177">
        <v>194</v>
      </c>
      <c r="N177" t="s">
        <v>480</v>
      </c>
      <c r="O177" t="s">
        <v>504</v>
      </c>
      <c r="P177" t="s">
        <v>505</v>
      </c>
      <c r="Q177" t="s">
        <v>506</v>
      </c>
      <c r="R177" t="s">
        <v>755</v>
      </c>
      <c r="S177" t="s">
        <v>507</v>
      </c>
      <c r="T177" t="s">
        <v>755</v>
      </c>
      <c r="U177">
        <v>1203</v>
      </c>
      <c r="V177" t="s">
        <v>508</v>
      </c>
      <c r="W177" t="s">
        <v>43</v>
      </c>
      <c r="X177" t="s">
        <v>509</v>
      </c>
      <c r="Y177" t="s">
        <v>109</v>
      </c>
      <c r="Z177" t="s">
        <v>52</v>
      </c>
    </row>
    <row r="178" spans="1:26" x14ac:dyDescent="0.3">
      <c r="A178">
        <v>10288</v>
      </c>
      <c r="B178">
        <v>20</v>
      </c>
      <c r="C178">
        <v>100</v>
      </c>
      <c r="D178">
        <v>14</v>
      </c>
      <c r="E178">
        <v>2936.8</v>
      </c>
      <c r="F178" s="2">
        <v>38231</v>
      </c>
      <c r="G178" s="2" t="str">
        <f t="shared" si="2"/>
        <v>Sep</v>
      </c>
      <c r="H178" t="s">
        <v>26</v>
      </c>
      <c r="I178">
        <v>3</v>
      </c>
      <c r="J178">
        <v>9</v>
      </c>
      <c r="K178">
        <v>2004</v>
      </c>
      <c r="L178" t="s">
        <v>198</v>
      </c>
      <c r="M178">
        <v>124</v>
      </c>
      <c r="N178" t="s">
        <v>653</v>
      </c>
      <c r="O178" t="s">
        <v>470</v>
      </c>
      <c r="P178" t="s">
        <v>471</v>
      </c>
      <c r="Q178" t="s">
        <v>472</v>
      </c>
      <c r="R178" t="s">
        <v>473</v>
      </c>
      <c r="S178" t="s">
        <v>220</v>
      </c>
      <c r="T178" t="s">
        <v>755</v>
      </c>
      <c r="U178">
        <v>69045</v>
      </c>
      <c r="V178" t="s">
        <v>220</v>
      </c>
      <c r="W178" t="s">
        <v>102</v>
      </c>
      <c r="X178" t="s">
        <v>474</v>
      </c>
      <c r="Y178" t="s">
        <v>475</v>
      </c>
      <c r="Z178" t="s">
        <v>37</v>
      </c>
    </row>
    <row r="179" spans="1:26" x14ac:dyDescent="0.3">
      <c r="A179">
        <v>10289</v>
      </c>
      <c r="B179">
        <v>38</v>
      </c>
      <c r="C179">
        <v>100</v>
      </c>
      <c r="D179">
        <v>2</v>
      </c>
      <c r="E179">
        <v>4567.9799999999996</v>
      </c>
      <c r="F179" s="2">
        <v>38233</v>
      </c>
      <c r="G179" s="2" t="str">
        <f t="shared" si="2"/>
        <v>Sep</v>
      </c>
      <c r="H179" t="s">
        <v>26</v>
      </c>
      <c r="I179">
        <v>3</v>
      </c>
      <c r="J179">
        <v>9</v>
      </c>
      <c r="K179">
        <v>2004</v>
      </c>
      <c r="L179" t="s">
        <v>630</v>
      </c>
      <c r="M179">
        <v>102</v>
      </c>
      <c r="N179" t="s">
        <v>631</v>
      </c>
      <c r="O179" t="s">
        <v>77</v>
      </c>
      <c r="P179" t="s">
        <v>78</v>
      </c>
      <c r="Q179" t="s">
        <v>79</v>
      </c>
      <c r="R179" t="s">
        <v>755</v>
      </c>
      <c r="S179" t="s">
        <v>80</v>
      </c>
      <c r="T179" t="s">
        <v>755</v>
      </c>
      <c r="U179" t="s">
        <v>81</v>
      </c>
      <c r="V179" t="s">
        <v>82</v>
      </c>
      <c r="W179" t="s">
        <v>43</v>
      </c>
      <c r="X179" t="s">
        <v>83</v>
      </c>
      <c r="Y179" t="s">
        <v>84</v>
      </c>
      <c r="Z179" t="s">
        <v>52</v>
      </c>
    </row>
    <row r="180" spans="1:26" x14ac:dyDescent="0.3">
      <c r="A180">
        <v>10290</v>
      </c>
      <c r="B180">
        <v>26</v>
      </c>
      <c r="C180">
        <v>96.23</v>
      </c>
      <c r="D180">
        <v>2</v>
      </c>
      <c r="E180">
        <v>2501.98</v>
      </c>
      <c r="F180" s="2">
        <v>38237</v>
      </c>
      <c r="G180" s="2" t="str">
        <f t="shared" si="2"/>
        <v>Sep</v>
      </c>
      <c r="H180" t="s">
        <v>26</v>
      </c>
      <c r="I180">
        <v>3</v>
      </c>
      <c r="J180">
        <v>9</v>
      </c>
      <c r="K180">
        <v>2004</v>
      </c>
      <c r="L180" t="s">
        <v>630</v>
      </c>
      <c r="M180">
        <v>99</v>
      </c>
      <c r="N180" t="s">
        <v>715</v>
      </c>
      <c r="O180" t="s">
        <v>704</v>
      </c>
      <c r="P180">
        <v>6175558428</v>
      </c>
      <c r="Q180" t="s">
        <v>705</v>
      </c>
      <c r="R180" t="s">
        <v>755</v>
      </c>
      <c r="S180" t="s">
        <v>315</v>
      </c>
      <c r="T180" t="s">
        <v>133</v>
      </c>
      <c r="U180">
        <v>58339</v>
      </c>
      <c r="V180" t="s">
        <v>33</v>
      </c>
      <c r="W180" t="s">
        <v>34</v>
      </c>
      <c r="X180" t="s">
        <v>605</v>
      </c>
      <c r="Y180" t="s">
        <v>270</v>
      </c>
      <c r="Z180" t="s">
        <v>37</v>
      </c>
    </row>
    <row r="181" spans="1:26" x14ac:dyDescent="0.3">
      <c r="A181">
        <v>10291</v>
      </c>
      <c r="B181">
        <v>37</v>
      </c>
      <c r="C181">
        <v>100</v>
      </c>
      <c r="D181">
        <v>11</v>
      </c>
      <c r="E181">
        <v>7136.19</v>
      </c>
      <c r="F181" s="2">
        <v>38238</v>
      </c>
      <c r="G181" s="2" t="str">
        <f t="shared" si="2"/>
        <v>Sep</v>
      </c>
      <c r="H181" t="s">
        <v>26</v>
      </c>
      <c r="I181">
        <v>3</v>
      </c>
      <c r="J181">
        <v>9</v>
      </c>
      <c r="K181">
        <v>2004</v>
      </c>
      <c r="L181" t="s">
        <v>198</v>
      </c>
      <c r="M181">
        <v>214</v>
      </c>
      <c r="N181" t="s">
        <v>199</v>
      </c>
      <c r="O181" t="s">
        <v>289</v>
      </c>
      <c r="P181" t="s">
        <v>290</v>
      </c>
      <c r="Q181" t="s">
        <v>291</v>
      </c>
      <c r="R181" t="s">
        <v>755</v>
      </c>
      <c r="S181" t="s">
        <v>292</v>
      </c>
      <c r="T181" t="s">
        <v>755</v>
      </c>
      <c r="U181" t="s">
        <v>293</v>
      </c>
      <c r="V181" t="s">
        <v>206</v>
      </c>
      <c r="W181" t="s">
        <v>43</v>
      </c>
      <c r="X181" t="s">
        <v>294</v>
      </c>
      <c r="Y181" t="s">
        <v>228</v>
      </c>
      <c r="Z181" t="s">
        <v>165</v>
      </c>
    </row>
    <row r="182" spans="1:26" x14ac:dyDescent="0.3">
      <c r="A182">
        <v>10292</v>
      </c>
      <c r="B182">
        <v>21</v>
      </c>
      <c r="C182">
        <v>100</v>
      </c>
      <c r="D182">
        <v>8</v>
      </c>
      <c r="E182">
        <v>2214.87</v>
      </c>
      <c r="F182" s="2">
        <v>38238</v>
      </c>
      <c r="G182" s="2" t="str">
        <f t="shared" si="2"/>
        <v>Sep</v>
      </c>
      <c r="H182" t="s">
        <v>26</v>
      </c>
      <c r="I182">
        <v>3</v>
      </c>
      <c r="J182">
        <v>9</v>
      </c>
      <c r="K182">
        <v>2004</v>
      </c>
      <c r="L182" t="s">
        <v>573</v>
      </c>
      <c r="M182">
        <v>118</v>
      </c>
      <c r="N182" t="s">
        <v>594</v>
      </c>
      <c r="O182" t="s">
        <v>29</v>
      </c>
      <c r="P182">
        <v>2125557818</v>
      </c>
      <c r="Q182" t="s">
        <v>30</v>
      </c>
      <c r="R182" t="s">
        <v>755</v>
      </c>
      <c r="S182" t="s">
        <v>31</v>
      </c>
      <c r="T182" t="s">
        <v>32</v>
      </c>
      <c r="U182">
        <v>10022</v>
      </c>
      <c r="V182" t="s">
        <v>33</v>
      </c>
      <c r="W182" t="s">
        <v>34</v>
      </c>
      <c r="X182" t="s">
        <v>35</v>
      </c>
      <c r="Y182" t="s">
        <v>36</v>
      </c>
      <c r="Z182" t="s">
        <v>37</v>
      </c>
    </row>
    <row r="183" spans="1:26" x14ac:dyDescent="0.3">
      <c r="A183">
        <v>10293</v>
      </c>
      <c r="B183">
        <v>46</v>
      </c>
      <c r="C183">
        <v>100</v>
      </c>
      <c r="D183">
        <v>8</v>
      </c>
      <c r="E183">
        <v>8411.56</v>
      </c>
      <c r="F183" s="2">
        <v>38239</v>
      </c>
      <c r="G183" s="2" t="str">
        <f t="shared" si="2"/>
        <v>Sep</v>
      </c>
      <c r="H183" t="s">
        <v>26</v>
      </c>
      <c r="I183">
        <v>3</v>
      </c>
      <c r="J183">
        <v>9</v>
      </c>
      <c r="K183">
        <v>2004</v>
      </c>
      <c r="L183" t="s">
        <v>198</v>
      </c>
      <c r="M183">
        <v>207</v>
      </c>
      <c r="N183" t="s">
        <v>536</v>
      </c>
      <c r="O183" t="s">
        <v>282</v>
      </c>
      <c r="P183" t="s">
        <v>283</v>
      </c>
      <c r="Q183" t="s">
        <v>284</v>
      </c>
      <c r="R183" t="s">
        <v>755</v>
      </c>
      <c r="S183" t="s">
        <v>285</v>
      </c>
      <c r="T183" t="s">
        <v>755</v>
      </c>
      <c r="U183">
        <v>10100</v>
      </c>
      <c r="V183" t="s">
        <v>286</v>
      </c>
      <c r="W183" t="s">
        <v>43</v>
      </c>
      <c r="X183" t="s">
        <v>287</v>
      </c>
      <c r="Y183" t="s">
        <v>288</v>
      </c>
      <c r="Z183" t="s">
        <v>165</v>
      </c>
    </row>
    <row r="184" spans="1:26" x14ac:dyDescent="0.3">
      <c r="A184">
        <v>10294</v>
      </c>
      <c r="B184">
        <v>45</v>
      </c>
      <c r="C184">
        <v>100</v>
      </c>
      <c r="D184">
        <v>1</v>
      </c>
      <c r="E184">
        <v>4692.6000000000004</v>
      </c>
      <c r="F184" s="2">
        <v>38240</v>
      </c>
      <c r="G184" s="2" t="str">
        <f t="shared" si="2"/>
        <v>Sep</v>
      </c>
      <c r="H184" t="s">
        <v>26</v>
      </c>
      <c r="I184">
        <v>3</v>
      </c>
      <c r="J184">
        <v>9</v>
      </c>
      <c r="K184">
        <v>2004</v>
      </c>
      <c r="L184" t="s">
        <v>702</v>
      </c>
      <c r="M184">
        <v>99</v>
      </c>
      <c r="N184" t="s">
        <v>754</v>
      </c>
      <c r="O184" t="s">
        <v>516</v>
      </c>
      <c r="P184">
        <v>6175557555</v>
      </c>
      <c r="Q184" t="s">
        <v>517</v>
      </c>
      <c r="R184" t="s">
        <v>755</v>
      </c>
      <c r="S184" t="s">
        <v>315</v>
      </c>
      <c r="T184" t="s">
        <v>133</v>
      </c>
      <c r="U184">
        <v>58339</v>
      </c>
      <c r="V184" t="s">
        <v>33</v>
      </c>
      <c r="W184" t="s">
        <v>34</v>
      </c>
      <c r="X184" t="s">
        <v>518</v>
      </c>
      <c r="Y184" t="s">
        <v>519</v>
      </c>
      <c r="Z184" t="s">
        <v>52</v>
      </c>
    </row>
    <row r="185" spans="1:26" x14ac:dyDescent="0.3">
      <c r="A185">
        <v>10295</v>
      </c>
      <c r="B185">
        <v>24</v>
      </c>
      <c r="C185">
        <v>100</v>
      </c>
      <c r="D185">
        <v>1</v>
      </c>
      <c r="E185">
        <v>3427.2</v>
      </c>
      <c r="F185" s="2">
        <v>38240</v>
      </c>
      <c r="G185" s="2" t="str">
        <f t="shared" si="2"/>
        <v>Sep</v>
      </c>
      <c r="H185" t="s">
        <v>26</v>
      </c>
      <c r="I185">
        <v>3</v>
      </c>
      <c r="J185">
        <v>9</v>
      </c>
      <c r="K185">
        <v>2004</v>
      </c>
      <c r="L185" t="s">
        <v>198</v>
      </c>
      <c r="M185">
        <v>136</v>
      </c>
      <c r="N185" t="s">
        <v>358</v>
      </c>
      <c r="O185" t="s">
        <v>424</v>
      </c>
      <c r="P185">
        <v>6175559555</v>
      </c>
      <c r="Q185" t="s">
        <v>425</v>
      </c>
      <c r="R185" t="s">
        <v>755</v>
      </c>
      <c r="S185" t="s">
        <v>426</v>
      </c>
      <c r="T185" t="s">
        <v>133</v>
      </c>
      <c r="U185">
        <v>51003</v>
      </c>
      <c r="V185" t="s">
        <v>33</v>
      </c>
      <c r="W185" t="s">
        <v>34</v>
      </c>
      <c r="X185" t="s">
        <v>427</v>
      </c>
      <c r="Y185" t="s">
        <v>69</v>
      </c>
      <c r="Z185" t="s">
        <v>52</v>
      </c>
    </row>
    <row r="186" spans="1:26" x14ac:dyDescent="0.3">
      <c r="A186">
        <v>10296</v>
      </c>
      <c r="B186">
        <v>36</v>
      </c>
      <c r="C186">
        <v>100</v>
      </c>
      <c r="D186">
        <v>7</v>
      </c>
      <c r="E186">
        <v>5676.84</v>
      </c>
      <c r="F186" s="2">
        <v>38245</v>
      </c>
      <c r="G186" s="2" t="str">
        <f t="shared" si="2"/>
        <v>Sep</v>
      </c>
      <c r="H186" t="s">
        <v>26</v>
      </c>
      <c r="I186">
        <v>3</v>
      </c>
      <c r="J186">
        <v>9</v>
      </c>
      <c r="K186">
        <v>2004</v>
      </c>
      <c r="L186" t="s">
        <v>658</v>
      </c>
      <c r="M186">
        <v>157</v>
      </c>
      <c r="N186" t="s">
        <v>659</v>
      </c>
      <c r="O186" t="s">
        <v>669</v>
      </c>
      <c r="P186" t="s">
        <v>670</v>
      </c>
      <c r="Q186" t="s">
        <v>671</v>
      </c>
      <c r="R186" t="s">
        <v>755</v>
      </c>
      <c r="S186" t="s">
        <v>672</v>
      </c>
      <c r="T186" t="s">
        <v>755</v>
      </c>
      <c r="U186">
        <v>80686</v>
      </c>
      <c r="V186" t="s">
        <v>500</v>
      </c>
      <c r="W186" t="s">
        <v>43</v>
      </c>
      <c r="X186" t="s">
        <v>673</v>
      </c>
      <c r="Y186" t="s">
        <v>109</v>
      </c>
      <c r="Z186" t="s">
        <v>52</v>
      </c>
    </row>
    <row r="187" spans="1:26" x14ac:dyDescent="0.3">
      <c r="A187">
        <v>10297</v>
      </c>
      <c r="B187">
        <v>25</v>
      </c>
      <c r="C187">
        <v>82.79</v>
      </c>
      <c r="D187">
        <v>4</v>
      </c>
      <c r="E187">
        <v>2069.75</v>
      </c>
      <c r="F187" s="2">
        <v>38246</v>
      </c>
      <c r="G187" s="2" t="str">
        <f t="shared" si="2"/>
        <v>Sep</v>
      </c>
      <c r="H187" t="s">
        <v>26</v>
      </c>
      <c r="I187">
        <v>3</v>
      </c>
      <c r="J187">
        <v>9</v>
      </c>
      <c r="K187">
        <v>2004</v>
      </c>
      <c r="L187" t="s">
        <v>658</v>
      </c>
      <c r="M187">
        <v>84</v>
      </c>
      <c r="N187" t="s">
        <v>695</v>
      </c>
      <c r="O187" t="s">
        <v>543</v>
      </c>
      <c r="P187" t="s">
        <v>544</v>
      </c>
      <c r="Q187" t="s">
        <v>545</v>
      </c>
      <c r="R187" t="s">
        <v>546</v>
      </c>
      <c r="S187" t="s">
        <v>547</v>
      </c>
      <c r="T187" t="s">
        <v>755</v>
      </c>
      <c r="U187">
        <v>2</v>
      </c>
      <c r="V187" t="s">
        <v>548</v>
      </c>
      <c r="W187" t="s">
        <v>43</v>
      </c>
      <c r="X187" t="s">
        <v>549</v>
      </c>
      <c r="Y187" t="s">
        <v>550</v>
      </c>
      <c r="Z187" t="s">
        <v>37</v>
      </c>
    </row>
    <row r="188" spans="1:26" x14ac:dyDescent="0.3">
      <c r="A188">
        <v>10298</v>
      </c>
      <c r="B188">
        <v>39</v>
      </c>
      <c r="C188">
        <v>96.34</v>
      </c>
      <c r="D188">
        <v>1</v>
      </c>
      <c r="E188">
        <v>3757.26</v>
      </c>
      <c r="F188" s="2">
        <v>38257</v>
      </c>
      <c r="G188" s="2" t="str">
        <f t="shared" si="2"/>
        <v>Sep</v>
      </c>
      <c r="H188" t="s">
        <v>26</v>
      </c>
      <c r="I188">
        <v>3</v>
      </c>
      <c r="J188">
        <v>9</v>
      </c>
      <c r="K188">
        <v>2004</v>
      </c>
      <c r="L188" t="s">
        <v>27</v>
      </c>
      <c r="M188">
        <v>118</v>
      </c>
      <c r="N188" t="s">
        <v>336</v>
      </c>
      <c r="O188" t="s">
        <v>348</v>
      </c>
      <c r="P188" t="s">
        <v>349</v>
      </c>
      <c r="Q188" t="s">
        <v>350</v>
      </c>
      <c r="R188" t="s">
        <v>755</v>
      </c>
      <c r="S188" t="s">
        <v>126</v>
      </c>
      <c r="T188" t="s">
        <v>755</v>
      </c>
      <c r="U188">
        <v>44000</v>
      </c>
      <c r="V188" t="s">
        <v>42</v>
      </c>
      <c r="W188" t="s">
        <v>43</v>
      </c>
      <c r="X188" t="s">
        <v>351</v>
      </c>
      <c r="Y188" t="s">
        <v>352</v>
      </c>
      <c r="Z188" t="s">
        <v>52</v>
      </c>
    </row>
    <row r="189" spans="1:26" x14ac:dyDescent="0.3">
      <c r="A189">
        <v>10299</v>
      </c>
      <c r="B189">
        <v>23</v>
      </c>
      <c r="C189">
        <v>100</v>
      </c>
      <c r="D189">
        <v>9</v>
      </c>
      <c r="E189">
        <v>2597.39</v>
      </c>
      <c r="F189" s="2">
        <v>38260</v>
      </c>
      <c r="G189" s="2" t="str">
        <f t="shared" si="2"/>
        <v>Sep</v>
      </c>
      <c r="H189" t="s">
        <v>26</v>
      </c>
      <c r="I189">
        <v>3</v>
      </c>
      <c r="J189">
        <v>9</v>
      </c>
      <c r="K189">
        <v>2004</v>
      </c>
      <c r="L189" t="s">
        <v>27</v>
      </c>
      <c r="M189">
        <v>95</v>
      </c>
      <c r="N189" t="s">
        <v>28</v>
      </c>
      <c r="O189" t="s">
        <v>137</v>
      </c>
      <c r="P189" t="s">
        <v>138</v>
      </c>
      <c r="Q189" t="s">
        <v>139</v>
      </c>
      <c r="R189" t="s">
        <v>755</v>
      </c>
      <c r="S189" t="s">
        <v>140</v>
      </c>
      <c r="T189" t="s">
        <v>755</v>
      </c>
      <c r="U189">
        <v>21240</v>
      </c>
      <c r="V189" t="s">
        <v>141</v>
      </c>
      <c r="W189" t="s">
        <v>43</v>
      </c>
      <c r="X189" t="s">
        <v>142</v>
      </c>
      <c r="Y189" t="s">
        <v>143</v>
      </c>
      <c r="Z189" t="s">
        <v>37</v>
      </c>
    </row>
    <row r="190" spans="1:26" x14ac:dyDescent="0.3">
      <c r="A190">
        <v>10300</v>
      </c>
      <c r="B190">
        <v>33</v>
      </c>
      <c r="C190">
        <v>100</v>
      </c>
      <c r="D190">
        <v>5</v>
      </c>
      <c r="E190">
        <v>5521.89</v>
      </c>
      <c r="F190" s="2">
        <v>37898</v>
      </c>
      <c r="G190" s="2" t="str">
        <f t="shared" si="2"/>
        <v>Oct</v>
      </c>
      <c r="H190" t="s">
        <v>26</v>
      </c>
      <c r="I190">
        <v>4</v>
      </c>
      <c r="J190">
        <v>10</v>
      </c>
      <c r="K190">
        <v>2003</v>
      </c>
      <c r="L190" t="s">
        <v>198</v>
      </c>
      <c r="M190">
        <v>194</v>
      </c>
      <c r="N190" t="s">
        <v>480</v>
      </c>
      <c r="O190" t="s">
        <v>521</v>
      </c>
      <c r="P190" t="s">
        <v>522</v>
      </c>
      <c r="Q190" t="s">
        <v>523</v>
      </c>
      <c r="R190" t="s">
        <v>755</v>
      </c>
      <c r="S190" t="s">
        <v>524</v>
      </c>
      <c r="T190" t="s">
        <v>755</v>
      </c>
      <c r="U190">
        <v>60528</v>
      </c>
      <c r="V190" t="s">
        <v>500</v>
      </c>
      <c r="W190" t="s">
        <v>43</v>
      </c>
      <c r="X190" t="s">
        <v>525</v>
      </c>
      <c r="Y190" t="s">
        <v>466</v>
      </c>
      <c r="Z190" t="s">
        <v>52</v>
      </c>
    </row>
    <row r="191" spans="1:26" x14ac:dyDescent="0.3">
      <c r="A191">
        <v>10301</v>
      </c>
      <c r="B191">
        <v>37</v>
      </c>
      <c r="C191">
        <v>100</v>
      </c>
      <c r="D191">
        <v>8</v>
      </c>
      <c r="E191">
        <v>5917.78</v>
      </c>
      <c r="F191" s="2">
        <v>37899</v>
      </c>
      <c r="G191" s="2" t="str">
        <f t="shared" si="2"/>
        <v>Oct</v>
      </c>
      <c r="H191" t="s">
        <v>26</v>
      </c>
      <c r="I191">
        <v>4</v>
      </c>
      <c r="J191">
        <v>10</v>
      </c>
      <c r="K191">
        <v>2003</v>
      </c>
      <c r="L191" t="s">
        <v>198</v>
      </c>
      <c r="M191">
        <v>141</v>
      </c>
      <c r="N191" t="s">
        <v>614</v>
      </c>
      <c r="O191" t="s">
        <v>621</v>
      </c>
      <c r="P191" t="s">
        <v>622</v>
      </c>
      <c r="Q191" t="s">
        <v>623</v>
      </c>
      <c r="R191" t="s">
        <v>755</v>
      </c>
      <c r="S191" t="s">
        <v>624</v>
      </c>
      <c r="T191" t="s">
        <v>755</v>
      </c>
      <c r="U191" t="s">
        <v>625</v>
      </c>
      <c r="V191" t="s">
        <v>82</v>
      </c>
      <c r="W191" t="s">
        <v>43</v>
      </c>
      <c r="X191" t="s">
        <v>626</v>
      </c>
      <c r="Y191" t="s">
        <v>627</v>
      </c>
      <c r="Z191" t="s">
        <v>52</v>
      </c>
    </row>
    <row r="192" spans="1:26" x14ac:dyDescent="0.3">
      <c r="A192">
        <v>10302</v>
      </c>
      <c r="B192">
        <v>43</v>
      </c>
      <c r="C192">
        <v>100</v>
      </c>
      <c r="D192">
        <v>1</v>
      </c>
      <c r="E192">
        <v>7310</v>
      </c>
      <c r="F192" s="2">
        <v>37900</v>
      </c>
      <c r="G192" s="2" t="str">
        <f t="shared" si="2"/>
        <v>Oct</v>
      </c>
      <c r="H192" t="s">
        <v>26</v>
      </c>
      <c r="I192">
        <v>4</v>
      </c>
      <c r="J192">
        <v>10</v>
      </c>
      <c r="K192">
        <v>2003</v>
      </c>
      <c r="L192" t="s">
        <v>630</v>
      </c>
      <c r="M192">
        <v>170</v>
      </c>
      <c r="N192" t="s">
        <v>683</v>
      </c>
      <c r="O192" t="s">
        <v>180</v>
      </c>
      <c r="P192" t="s">
        <v>181</v>
      </c>
      <c r="Q192" t="s">
        <v>182</v>
      </c>
      <c r="R192" t="s">
        <v>755</v>
      </c>
      <c r="S192" t="s">
        <v>183</v>
      </c>
      <c r="T192" t="s">
        <v>755</v>
      </c>
      <c r="U192" t="s">
        <v>184</v>
      </c>
      <c r="V192" t="s">
        <v>185</v>
      </c>
      <c r="W192" t="s">
        <v>43</v>
      </c>
      <c r="X192" t="s">
        <v>186</v>
      </c>
      <c r="Y192" t="s">
        <v>187</v>
      </c>
      <c r="Z192" t="s">
        <v>165</v>
      </c>
    </row>
    <row r="193" spans="1:26" x14ac:dyDescent="0.3">
      <c r="A193">
        <v>10303</v>
      </c>
      <c r="B193">
        <v>46</v>
      </c>
      <c r="C193">
        <v>49.04</v>
      </c>
      <c r="D193">
        <v>2</v>
      </c>
      <c r="E193">
        <v>2255.84</v>
      </c>
      <c r="F193" s="2">
        <v>38266</v>
      </c>
      <c r="G193" s="2" t="str">
        <f t="shared" si="2"/>
        <v>Oct</v>
      </c>
      <c r="H193" t="s">
        <v>26</v>
      </c>
      <c r="I193">
        <v>4</v>
      </c>
      <c r="J193">
        <v>10</v>
      </c>
      <c r="K193">
        <v>2004</v>
      </c>
      <c r="L193" t="s">
        <v>630</v>
      </c>
      <c r="M193">
        <v>60</v>
      </c>
      <c r="N193" t="s">
        <v>688</v>
      </c>
      <c r="O193" t="s">
        <v>596</v>
      </c>
      <c r="P193" t="s">
        <v>597</v>
      </c>
      <c r="Q193" t="s">
        <v>598</v>
      </c>
      <c r="R193" t="s">
        <v>755</v>
      </c>
      <c r="S193" t="s">
        <v>599</v>
      </c>
      <c r="T193" t="s">
        <v>755</v>
      </c>
      <c r="U193">
        <v>41101</v>
      </c>
      <c r="V193" t="s">
        <v>194</v>
      </c>
      <c r="W193" t="s">
        <v>43</v>
      </c>
      <c r="X193" t="s">
        <v>600</v>
      </c>
      <c r="Y193" t="s">
        <v>601</v>
      </c>
      <c r="Z193" t="s">
        <v>37</v>
      </c>
    </row>
    <row r="194" spans="1:26" x14ac:dyDescent="0.3">
      <c r="A194">
        <v>10304</v>
      </c>
      <c r="B194">
        <v>47</v>
      </c>
      <c r="C194">
        <v>100</v>
      </c>
      <c r="D194">
        <v>6</v>
      </c>
      <c r="E194">
        <v>10172.700000000001</v>
      </c>
      <c r="F194" s="2">
        <v>38271</v>
      </c>
      <c r="G194" s="2" t="str">
        <f t="shared" ref="G194:G257" si="3">TEXT(F194,"MMM")</f>
        <v>Oct</v>
      </c>
      <c r="H194" t="s">
        <v>26</v>
      </c>
      <c r="I194">
        <v>4</v>
      </c>
      <c r="J194">
        <v>10</v>
      </c>
      <c r="K194">
        <v>2004</v>
      </c>
      <c r="L194" t="s">
        <v>198</v>
      </c>
      <c r="M194">
        <v>214</v>
      </c>
      <c r="N194" t="s">
        <v>199</v>
      </c>
      <c r="O194" t="s">
        <v>295</v>
      </c>
      <c r="P194" t="s">
        <v>296</v>
      </c>
      <c r="Q194" t="s">
        <v>297</v>
      </c>
      <c r="R194" t="s">
        <v>755</v>
      </c>
      <c r="S194" t="s">
        <v>298</v>
      </c>
      <c r="T194" t="s">
        <v>755</v>
      </c>
      <c r="U194">
        <v>78000</v>
      </c>
      <c r="V194" t="s">
        <v>42</v>
      </c>
      <c r="W194" t="s">
        <v>43</v>
      </c>
      <c r="X194" t="s">
        <v>299</v>
      </c>
      <c r="Y194" t="s">
        <v>51</v>
      </c>
      <c r="Z194" t="s">
        <v>165</v>
      </c>
    </row>
    <row r="195" spans="1:26" x14ac:dyDescent="0.3">
      <c r="A195">
        <v>10305</v>
      </c>
      <c r="B195">
        <v>38</v>
      </c>
      <c r="C195">
        <v>100</v>
      </c>
      <c r="D195">
        <v>13</v>
      </c>
      <c r="E195">
        <v>6680.78</v>
      </c>
      <c r="F195" s="2">
        <v>38273</v>
      </c>
      <c r="G195" s="2" t="str">
        <f t="shared" si="3"/>
        <v>Oct</v>
      </c>
      <c r="H195" t="s">
        <v>26</v>
      </c>
      <c r="I195">
        <v>4</v>
      </c>
      <c r="J195">
        <v>10</v>
      </c>
      <c r="K195">
        <v>2004</v>
      </c>
      <c r="L195" t="s">
        <v>198</v>
      </c>
      <c r="M195">
        <v>147</v>
      </c>
      <c r="N195" t="s">
        <v>453</v>
      </c>
      <c r="O195" t="s">
        <v>130</v>
      </c>
      <c r="P195">
        <v>6175558555</v>
      </c>
      <c r="Q195" t="s">
        <v>131</v>
      </c>
      <c r="R195" t="s">
        <v>755</v>
      </c>
      <c r="S195" t="s">
        <v>132</v>
      </c>
      <c r="T195" t="s">
        <v>133</v>
      </c>
      <c r="U195">
        <v>51247</v>
      </c>
      <c r="V195" t="s">
        <v>33</v>
      </c>
      <c r="W195" t="s">
        <v>34</v>
      </c>
      <c r="X195" t="s">
        <v>134</v>
      </c>
      <c r="Y195" t="s">
        <v>135</v>
      </c>
      <c r="Z195" t="s">
        <v>52</v>
      </c>
    </row>
    <row r="196" spans="1:26" x14ac:dyDescent="0.3">
      <c r="A196">
        <v>10306</v>
      </c>
      <c r="B196">
        <v>31</v>
      </c>
      <c r="C196">
        <v>100</v>
      </c>
      <c r="D196">
        <v>13</v>
      </c>
      <c r="E196">
        <v>6570.76</v>
      </c>
      <c r="F196" s="2">
        <v>38274</v>
      </c>
      <c r="G196" s="2" t="str">
        <f t="shared" si="3"/>
        <v>Oct</v>
      </c>
      <c r="H196" t="s">
        <v>26</v>
      </c>
      <c r="I196">
        <v>4</v>
      </c>
      <c r="J196">
        <v>10</v>
      </c>
      <c r="K196">
        <v>2004</v>
      </c>
      <c r="L196" t="s">
        <v>198</v>
      </c>
      <c r="M196">
        <v>207</v>
      </c>
      <c r="N196" t="s">
        <v>536</v>
      </c>
      <c r="O196" t="s">
        <v>558</v>
      </c>
      <c r="P196" t="s">
        <v>559</v>
      </c>
      <c r="Q196" t="s">
        <v>560</v>
      </c>
      <c r="R196" t="s">
        <v>755</v>
      </c>
      <c r="S196" t="s">
        <v>561</v>
      </c>
      <c r="T196" t="s">
        <v>755</v>
      </c>
      <c r="U196" t="s">
        <v>562</v>
      </c>
      <c r="V196" t="s">
        <v>185</v>
      </c>
      <c r="W196" t="s">
        <v>43</v>
      </c>
      <c r="X196" t="s">
        <v>563</v>
      </c>
      <c r="Y196" t="s">
        <v>100</v>
      </c>
      <c r="Z196" t="s">
        <v>52</v>
      </c>
    </row>
    <row r="197" spans="1:26" x14ac:dyDescent="0.3">
      <c r="A197">
        <v>10307</v>
      </c>
      <c r="B197">
        <v>22</v>
      </c>
      <c r="C197">
        <v>100</v>
      </c>
      <c r="D197">
        <v>9</v>
      </c>
      <c r="E197">
        <v>2692.8</v>
      </c>
      <c r="F197" s="2">
        <v>38274</v>
      </c>
      <c r="G197" s="2" t="str">
        <f t="shared" si="3"/>
        <v>Oct</v>
      </c>
      <c r="H197" t="s">
        <v>26</v>
      </c>
      <c r="I197">
        <v>4</v>
      </c>
      <c r="J197">
        <v>10</v>
      </c>
      <c r="K197">
        <v>2004</v>
      </c>
      <c r="L197" t="s">
        <v>198</v>
      </c>
      <c r="M197">
        <v>136</v>
      </c>
      <c r="N197" t="s">
        <v>358</v>
      </c>
      <c r="O197" t="s">
        <v>237</v>
      </c>
      <c r="P197">
        <v>2155554695</v>
      </c>
      <c r="Q197" t="s">
        <v>238</v>
      </c>
      <c r="R197" t="s">
        <v>755</v>
      </c>
      <c r="S197" t="s">
        <v>239</v>
      </c>
      <c r="T197" t="s">
        <v>154</v>
      </c>
      <c r="U197">
        <v>71270</v>
      </c>
      <c r="V197" t="s">
        <v>33</v>
      </c>
      <c r="W197" t="s">
        <v>34</v>
      </c>
      <c r="X197" t="s">
        <v>240</v>
      </c>
      <c r="Y197" t="s">
        <v>241</v>
      </c>
      <c r="Z197" t="s">
        <v>37</v>
      </c>
    </row>
    <row r="198" spans="1:26" x14ac:dyDescent="0.3">
      <c r="A198">
        <v>10308</v>
      </c>
      <c r="B198">
        <v>34</v>
      </c>
      <c r="C198">
        <v>100</v>
      </c>
      <c r="D198">
        <v>2</v>
      </c>
      <c r="E198">
        <v>4043.96</v>
      </c>
      <c r="F198" s="2">
        <v>38275</v>
      </c>
      <c r="G198" s="2" t="str">
        <f t="shared" si="3"/>
        <v>Oct</v>
      </c>
      <c r="H198" t="s">
        <v>26</v>
      </c>
      <c r="I198">
        <v>4</v>
      </c>
      <c r="J198">
        <v>10</v>
      </c>
      <c r="K198">
        <v>2004</v>
      </c>
      <c r="L198" t="s">
        <v>27</v>
      </c>
      <c r="M198">
        <v>118</v>
      </c>
      <c r="N198" t="s">
        <v>336</v>
      </c>
      <c r="O198" t="s">
        <v>353</v>
      </c>
      <c r="P198">
        <v>9145554562</v>
      </c>
      <c r="Q198" t="s">
        <v>354</v>
      </c>
      <c r="R198" t="s">
        <v>755</v>
      </c>
      <c r="S198" t="s">
        <v>355</v>
      </c>
      <c r="T198" t="s">
        <v>32</v>
      </c>
      <c r="U198">
        <v>24067</v>
      </c>
      <c r="V198" t="s">
        <v>33</v>
      </c>
      <c r="W198" t="s">
        <v>34</v>
      </c>
      <c r="X198" t="s">
        <v>108</v>
      </c>
      <c r="Y198" t="s">
        <v>263</v>
      </c>
      <c r="Z198" t="s">
        <v>52</v>
      </c>
    </row>
    <row r="199" spans="1:26" x14ac:dyDescent="0.3">
      <c r="A199">
        <v>10309</v>
      </c>
      <c r="B199">
        <v>41</v>
      </c>
      <c r="C199">
        <v>100</v>
      </c>
      <c r="D199">
        <v>5</v>
      </c>
      <c r="E199">
        <v>4394.38</v>
      </c>
      <c r="F199" s="2">
        <v>38275</v>
      </c>
      <c r="G199" s="2" t="str">
        <f t="shared" si="3"/>
        <v>Oct</v>
      </c>
      <c r="H199" t="s">
        <v>26</v>
      </c>
      <c r="I199">
        <v>4</v>
      </c>
      <c r="J199">
        <v>10</v>
      </c>
      <c r="K199">
        <v>2004</v>
      </c>
      <c r="L199" t="s">
        <v>27</v>
      </c>
      <c r="M199">
        <v>95</v>
      </c>
      <c r="N199" t="s">
        <v>28</v>
      </c>
      <c r="O199" t="s">
        <v>145</v>
      </c>
      <c r="P199" t="s">
        <v>146</v>
      </c>
      <c r="Q199" t="s">
        <v>147</v>
      </c>
      <c r="R199" t="s">
        <v>755</v>
      </c>
      <c r="S199" t="s">
        <v>148</v>
      </c>
      <c r="T199" t="s">
        <v>755</v>
      </c>
      <c r="U199">
        <v>4110</v>
      </c>
      <c r="V199" t="s">
        <v>82</v>
      </c>
      <c r="W199" t="s">
        <v>43</v>
      </c>
      <c r="X199" t="s">
        <v>149</v>
      </c>
      <c r="Y199" t="s">
        <v>150</v>
      </c>
      <c r="Z199" t="s">
        <v>52</v>
      </c>
    </row>
    <row r="200" spans="1:26" x14ac:dyDescent="0.3">
      <c r="A200">
        <v>10310</v>
      </c>
      <c r="B200">
        <v>33</v>
      </c>
      <c r="C200">
        <v>100</v>
      </c>
      <c r="D200">
        <v>10</v>
      </c>
      <c r="E200">
        <v>6934.62</v>
      </c>
      <c r="F200" s="2">
        <v>38276</v>
      </c>
      <c r="G200" s="2" t="str">
        <f t="shared" si="3"/>
        <v>Oct</v>
      </c>
      <c r="H200" t="s">
        <v>26</v>
      </c>
      <c r="I200">
        <v>4</v>
      </c>
      <c r="J200">
        <v>10</v>
      </c>
      <c r="K200">
        <v>2004</v>
      </c>
      <c r="L200" t="s">
        <v>198</v>
      </c>
      <c r="M200">
        <v>194</v>
      </c>
      <c r="N200" t="s">
        <v>480</v>
      </c>
      <c r="O200" t="s">
        <v>496</v>
      </c>
      <c r="P200" t="s">
        <v>497</v>
      </c>
      <c r="Q200" t="s">
        <v>498</v>
      </c>
      <c r="R200" t="s">
        <v>755</v>
      </c>
      <c r="S200" t="s">
        <v>499</v>
      </c>
      <c r="T200" t="s">
        <v>755</v>
      </c>
      <c r="U200">
        <v>50739</v>
      </c>
      <c r="V200" t="s">
        <v>500</v>
      </c>
      <c r="W200" t="s">
        <v>43</v>
      </c>
      <c r="X200" t="s">
        <v>501</v>
      </c>
      <c r="Y200" t="s">
        <v>502</v>
      </c>
      <c r="Z200" t="s">
        <v>52</v>
      </c>
    </row>
    <row r="201" spans="1:26" x14ac:dyDescent="0.3">
      <c r="A201">
        <v>10311</v>
      </c>
      <c r="B201">
        <v>29</v>
      </c>
      <c r="C201">
        <v>100</v>
      </c>
      <c r="D201">
        <v>9</v>
      </c>
      <c r="E201">
        <v>2923.2</v>
      </c>
      <c r="F201" s="2">
        <v>38276</v>
      </c>
      <c r="G201" s="2" t="str">
        <f t="shared" si="3"/>
        <v>Oct</v>
      </c>
      <c r="H201" t="s">
        <v>26</v>
      </c>
      <c r="I201">
        <v>4</v>
      </c>
      <c r="J201">
        <v>10</v>
      </c>
      <c r="K201">
        <v>2004</v>
      </c>
      <c r="L201" t="s">
        <v>198</v>
      </c>
      <c r="M201">
        <v>124</v>
      </c>
      <c r="N201" t="s">
        <v>653</v>
      </c>
      <c r="O201" t="s">
        <v>190</v>
      </c>
      <c r="P201" t="s">
        <v>191</v>
      </c>
      <c r="Q201" t="s">
        <v>192</v>
      </c>
      <c r="R201" t="s">
        <v>755</v>
      </c>
      <c r="S201" t="s">
        <v>193</v>
      </c>
      <c r="T201" t="s">
        <v>755</v>
      </c>
      <c r="U201">
        <v>28034</v>
      </c>
      <c r="V201" t="s">
        <v>194</v>
      </c>
      <c r="W201" t="s">
        <v>43</v>
      </c>
      <c r="X201" t="s">
        <v>195</v>
      </c>
      <c r="Y201" t="s">
        <v>196</v>
      </c>
      <c r="Z201" t="s">
        <v>37</v>
      </c>
    </row>
    <row r="202" spans="1:26" x14ac:dyDescent="0.3">
      <c r="A202">
        <v>10312</v>
      </c>
      <c r="B202">
        <v>48</v>
      </c>
      <c r="C202">
        <v>100</v>
      </c>
      <c r="D202">
        <v>3</v>
      </c>
      <c r="E202">
        <v>11623.7</v>
      </c>
      <c r="F202" s="2">
        <v>38281</v>
      </c>
      <c r="G202" s="2" t="str">
        <f t="shared" si="3"/>
        <v>Oct</v>
      </c>
      <c r="H202" t="s">
        <v>26</v>
      </c>
      <c r="I202">
        <v>4</v>
      </c>
      <c r="J202">
        <v>10</v>
      </c>
      <c r="K202">
        <v>2004</v>
      </c>
      <c r="L202" t="s">
        <v>198</v>
      </c>
      <c r="M202">
        <v>214</v>
      </c>
      <c r="N202" t="s">
        <v>199</v>
      </c>
      <c r="O202" t="s">
        <v>301</v>
      </c>
      <c r="P202">
        <v>4155551450</v>
      </c>
      <c r="Q202" t="s">
        <v>302</v>
      </c>
      <c r="R202" t="s">
        <v>755</v>
      </c>
      <c r="S202" t="s">
        <v>303</v>
      </c>
      <c r="T202" t="s">
        <v>57</v>
      </c>
      <c r="U202">
        <v>97562</v>
      </c>
      <c r="V202" t="s">
        <v>33</v>
      </c>
      <c r="W202" t="s">
        <v>34</v>
      </c>
      <c r="X202" t="s">
        <v>304</v>
      </c>
      <c r="Y202" t="s">
        <v>305</v>
      </c>
      <c r="Z202" t="s">
        <v>165</v>
      </c>
    </row>
    <row r="203" spans="1:26" x14ac:dyDescent="0.3">
      <c r="A203">
        <v>10313</v>
      </c>
      <c r="B203">
        <v>40</v>
      </c>
      <c r="C203">
        <v>100</v>
      </c>
      <c r="D203">
        <v>7</v>
      </c>
      <c r="E203">
        <v>6678</v>
      </c>
      <c r="F203" s="2">
        <v>38282</v>
      </c>
      <c r="G203" s="2" t="str">
        <f t="shared" si="3"/>
        <v>Oct</v>
      </c>
      <c r="H203" t="s">
        <v>26</v>
      </c>
      <c r="I203">
        <v>4</v>
      </c>
      <c r="J203">
        <v>10</v>
      </c>
      <c r="K203">
        <v>2004</v>
      </c>
      <c r="L203" t="s">
        <v>198</v>
      </c>
      <c r="M203">
        <v>147</v>
      </c>
      <c r="N203" t="s">
        <v>453</v>
      </c>
      <c r="O203" t="s">
        <v>249</v>
      </c>
      <c r="P203" t="s">
        <v>250</v>
      </c>
      <c r="Q203" t="s">
        <v>251</v>
      </c>
      <c r="R203" t="s">
        <v>755</v>
      </c>
      <c r="S203" t="s">
        <v>252</v>
      </c>
      <c r="T203" t="s">
        <v>253</v>
      </c>
      <c r="U203" t="s">
        <v>254</v>
      </c>
      <c r="V203" t="s">
        <v>255</v>
      </c>
      <c r="W203" t="s">
        <v>34</v>
      </c>
      <c r="X203" t="s">
        <v>256</v>
      </c>
      <c r="Y203" t="s">
        <v>257</v>
      </c>
      <c r="Z203" t="s">
        <v>52</v>
      </c>
    </row>
    <row r="204" spans="1:26" x14ac:dyDescent="0.3">
      <c r="A204">
        <v>10314</v>
      </c>
      <c r="B204">
        <v>38</v>
      </c>
      <c r="C204">
        <v>100</v>
      </c>
      <c r="D204">
        <v>5</v>
      </c>
      <c r="E204">
        <v>7975.44</v>
      </c>
      <c r="F204" s="2">
        <v>38282</v>
      </c>
      <c r="G204" s="2" t="str">
        <f t="shared" si="3"/>
        <v>Oct</v>
      </c>
      <c r="H204" t="s">
        <v>26</v>
      </c>
      <c r="I204">
        <v>4</v>
      </c>
      <c r="J204">
        <v>10</v>
      </c>
      <c r="K204">
        <v>2004</v>
      </c>
      <c r="L204" t="s">
        <v>198</v>
      </c>
      <c r="M204">
        <v>207</v>
      </c>
      <c r="N204" t="s">
        <v>536</v>
      </c>
      <c r="O204" t="s">
        <v>564</v>
      </c>
      <c r="P204" t="s">
        <v>565</v>
      </c>
      <c r="Q204" t="s">
        <v>566</v>
      </c>
      <c r="R204" t="s">
        <v>755</v>
      </c>
      <c r="S204" t="s">
        <v>567</v>
      </c>
      <c r="T204" t="s">
        <v>755</v>
      </c>
      <c r="U204">
        <v>8200</v>
      </c>
      <c r="V204" t="s">
        <v>363</v>
      </c>
      <c r="W204" t="s">
        <v>43</v>
      </c>
      <c r="X204" t="s">
        <v>568</v>
      </c>
      <c r="Y204" t="s">
        <v>569</v>
      </c>
      <c r="Z204" t="s">
        <v>165</v>
      </c>
    </row>
    <row r="205" spans="1:26" x14ac:dyDescent="0.3">
      <c r="A205">
        <v>10315</v>
      </c>
      <c r="B205">
        <v>36</v>
      </c>
      <c r="C205">
        <v>100</v>
      </c>
      <c r="D205">
        <v>7</v>
      </c>
      <c r="E205">
        <v>3602.16</v>
      </c>
      <c r="F205" s="2">
        <v>38289</v>
      </c>
      <c r="G205" s="2" t="str">
        <f t="shared" si="3"/>
        <v>Oct</v>
      </c>
      <c r="H205" t="s">
        <v>26</v>
      </c>
      <c r="I205">
        <v>4</v>
      </c>
      <c r="J205">
        <v>10</v>
      </c>
      <c r="K205">
        <v>2004</v>
      </c>
      <c r="L205" t="s">
        <v>630</v>
      </c>
      <c r="M205">
        <v>87</v>
      </c>
      <c r="N205" t="s">
        <v>727</v>
      </c>
      <c r="O205" t="s">
        <v>123</v>
      </c>
      <c r="P205" t="s">
        <v>124</v>
      </c>
      <c r="Q205" t="s">
        <v>125</v>
      </c>
      <c r="R205" t="s">
        <v>755</v>
      </c>
      <c r="S205" t="s">
        <v>126</v>
      </c>
      <c r="T205" t="s">
        <v>755</v>
      </c>
      <c r="U205">
        <v>44000</v>
      </c>
      <c r="V205" t="s">
        <v>42</v>
      </c>
      <c r="W205" t="s">
        <v>43</v>
      </c>
      <c r="X205" t="s">
        <v>127</v>
      </c>
      <c r="Y205" t="s">
        <v>128</v>
      </c>
      <c r="Z205" t="s">
        <v>52</v>
      </c>
    </row>
    <row r="206" spans="1:26" x14ac:dyDescent="0.3">
      <c r="A206">
        <v>10316</v>
      </c>
      <c r="B206">
        <v>33</v>
      </c>
      <c r="C206">
        <v>100</v>
      </c>
      <c r="D206">
        <v>17</v>
      </c>
      <c r="E206">
        <v>4128.96</v>
      </c>
      <c r="F206" s="2">
        <v>38292</v>
      </c>
      <c r="G206" s="2" t="str">
        <f t="shared" si="3"/>
        <v>Nov</v>
      </c>
      <c r="H206" t="s">
        <v>26</v>
      </c>
      <c r="I206">
        <v>4</v>
      </c>
      <c r="J206">
        <v>11</v>
      </c>
      <c r="K206">
        <v>2004</v>
      </c>
      <c r="L206" t="s">
        <v>198</v>
      </c>
      <c r="M206">
        <v>136</v>
      </c>
      <c r="N206" t="s">
        <v>358</v>
      </c>
      <c r="O206" t="s">
        <v>429</v>
      </c>
      <c r="P206" t="s">
        <v>430</v>
      </c>
      <c r="Q206" t="s">
        <v>431</v>
      </c>
      <c r="R206" t="s">
        <v>755</v>
      </c>
      <c r="S206" t="s">
        <v>432</v>
      </c>
      <c r="T206" t="s">
        <v>433</v>
      </c>
      <c r="U206" t="s">
        <v>434</v>
      </c>
      <c r="V206" t="s">
        <v>185</v>
      </c>
      <c r="W206" t="s">
        <v>43</v>
      </c>
      <c r="X206" t="s">
        <v>435</v>
      </c>
      <c r="Y206" t="s">
        <v>436</v>
      </c>
      <c r="Z206" t="s">
        <v>52</v>
      </c>
    </row>
    <row r="207" spans="1:26" x14ac:dyDescent="0.3">
      <c r="A207">
        <v>10317</v>
      </c>
      <c r="B207">
        <v>35</v>
      </c>
      <c r="C207">
        <v>83.32</v>
      </c>
      <c r="D207">
        <v>1</v>
      </c>
      <c r="E207">
        <v>2916.2</v>
      </c>
      <c r="F207" s="2">
        <v>38293</v>
      </c>
      <c r="G207" s="2" t="str">
        <f t="shared" si="3"/>
        <v>Nov</v>
      </c>
      <c r="H207" t="s">
        <v>26</v>
      </c>
      <c r="I207">
        <v>4</v>
      </c>
      <c r="J207">
        <v>11</v>
      </c>
      <c r="K207">
        <v>2004</v>
      </c>
      <c r="L207" t="s">
        <v>658</v>
      </c>
      <c r="M207">
        <v>72</v>
      </c>
      <c r="N207" t="s">
        <v>742</v>
      </c>
      <c r="O207" t="s">
        <v>65</v>
      </c>
      <c r="P207">
        <v>6505556809</v>
      </c>
      <c r="Q207" t="s">
        <v>66</v>
      </c>
      <c r="R207" t="s">
        <v>755</v>
      </c>
      <c r="S207" t="s">
        <v>67</v>
      </c>
      <c r="T207" t="s">
        <v>57</v>
      </c>
      <c r="U207">
        <v>94217</v>
      </c>
      <c r="V207" t="s">
        <v>33</v>
      </c>
      <c r="W207" t="s">
        <v>34</v>
      </c>
      <c r="X207" t="s">
        <v>68</v>
      </c>
      <c r="Y207" t="s">
        <v>69</v>
      </c>
      <c r="Z207" t="s">
        <v>37</v>
      </c>
    </row>
    <row r="208" spans="1:26" x14ac:dyDescent="0.3">
      <c r="A208">
        <v>10318</v>
      </c>
      <c r="B208">
        <v>46</v>
      </c>
      <c r="C208">
        <v>94.74</v>
      </c>
      <c r="D208">
        <v>1</v>
      </c>
      <c r="E208">
        <v>4358.04</v>
      </c>
      <c r="F208" s="2">
        <v>38293</v>
      </c>
      <c r="G208" s="2" t="str">
        <f t="shared" si="3"/>
        <v>Nov</v>
      </c>
      <c r="H208" t="s">
        <v>26</v>
      </c>
      <c r="I208">
        <v>4</v>
      </c>
      <c r="J208">
        <v>11</v>
      </c>
      <c r="K208">
        <v>2004</v>
      </c>
      <c r="L208" t="s">
        <v>27</v>
      </c>
      <c r="M208">
        <v>95</v>
      </c>
      <c r="N208" t="s">
        <v>28</v>
      </c>
      <c r="O208" t="s">
        <v>151</v>
      </c>
      <c r="P208">
        <v>2155551555</v>
      </c>
      <c r="Q208" t="s">
        <v>152</v>
      </c>
      <c r="R208" t="s">
        <v>755</v>
      </c>
      <c r="S208" t="s">
        <v>153</v>
      </c>
      <c r="T208" t="s">
        <v>154</v>
      </c>
      <c r="U208">
        <v>70267</v>
      </c>
      <c r="V208" t="s">
        <v>33</v>
      </c>
      <c r="W208" t="s">
        <v>34</v>
      </c>
      <c r="X208" t="s">
        <v>35</v>
      </c>
      <c r="Y208" t="s">
        <v>155</v>
      </c>
      <c r="Z208" t="s">
        <v>52</v>
      </c>
    </row>
    <row r="209" spans="1:26" x14ac:dyDescent="0.3">
      <c r="A209">
        <v>10319</v>
      </c>
      <c r="B209">
        <v>30</v>
      </c>
      <c r="C209">
        <v>100</v>
      </c>
      <c r="D209">
        <v>9</v>
      </c>
      <c r="E209">
        <v>4111.8</v>
      </c>
      <c r="F209" s="2">
        <v>38294</v>
      </c>
      <c r="G209" s="2" t="str">
        <f t="shared" si="3"/>
        <v>Nov</v>
      </c>
      <c r="H209" t="s">
        <v>26</v>
      </c>
      <c r="I209">
        <v>4</v>
      </c>
      <c r="J209">
        <v>11</v>
      </c>
      <c r="K209">
        <v>2004</v>
      </c>
      <c r="L209" t="s">
        <v>27</v>
      </c>
      <c r="M209">
        <v>150</v>
      </c>
      <c r="N209" t="s">
        <v>575</v>
      </c>
      <c r="O209" t="s">
        <v>577</v>
      </c>
      <c r="P209">
        <v>2125551957</v>
      </c>
      <c r="Q209" t="s">
        <v>578</v>
      </c>
      <c r="R209" t="s">
        <v>579</v>
      </c>
      <c r="S209" t="s">
        <v>31</v>
      </c>
      <c r="T209" t="s">
        <v>32</v>
      </c>
      <c r="U209">
        <v>10022</v>
      </c>
      <c r="V209" t="s">
        <v>33</v>
      </c>
      <c r="W209" t="s">
        <v>34</v>
      </c>
      <c r="X209" t="s">
        <v>580</v>
      </c>
      <c r="Y209" t="s">
        <v>581</v>
      </c>
      <c r="Z209" t="s">
        <v>52</v>
      </c>
    </row>
    <row r="210" spans="1:26" x14ac:dyDescent="0.3">
      <c r="A210">
        <v>10320</v>
      </c>
      <c r="B210">
        <v>31</v>
      </c>
      <c r="C210">
        <v>100</v>
      </c>
      <c r="D210">
        <v>3</v>
      </c>
      <c r="E210">
        <v>6876.11</v>
      </c>
      <c r="F210" s="2">
        <v>38294</v>
      </c>
      <c r="G210" s="2" t="str">
        <f t="shared" si="3"/>
        <v>Nov</v>
      </c>
      <c r="H210" t="s">
        <v>26</v>
      </c>
      <c r="I210">
        <v>4</v>
      </c>
      <c r="J210">
        <v>11</v>
      </c>
      <c r="K210">
        <v>2004</v>
      </c>
      <c r="L210" t="s">
        <v>198</v>
      </c>
      <c r="M210">
        <v>194</v>
      </c>
      <c r="N210" t="s">
        <v>480</v>
      </c>
      <c r="O210" t="s">
        <v>201</v>
      </c>
      <c r="P210" t="s">
        <v>202</v>
      </c>
      <c r="Q210" t="s">
        <v>203</v>
      </c>
      <c r="R210" t="s">
        <v>755</v>
      </c>
      <c r="S210" t="s">
        <v>204</v>
      </c>
      <c r="T210" t="s">
        <v>755</v>
      </c>
      <c r="U210" t="s">
        <v>205</v>
      </c>
      <c r="V210" t="s">
        <v>206</v>
      </c>
      <c r="W210" t="s">
        <v>43</v>
      </c>
      <c r="X210" t="s">
        <v>207</v>
      </c>
      <c r="Y210" t="s">
        <v>208</v>
      </c>
      <c r="Z210" t="s">
        <v>52</v>
      </c>
    </row>
    <row r="211" spans="1:26" x14ac:dyDescent="0.3">
      <c r="A211">
        <v>10321</v>
      </c>
      <c r="B211">
        <v>24</v>
      </c>
      <c r="C211">
        <v>100</v>
      </c>
      <c r="D211">
        <v>15</v>
      </c>
      <c r="E211">
        <v>2984.88</v>
      </c>
      <c r="F211" s="2">
        <v>38295</v>
      </c>
      <c r="G211" s="2" t="str">
        <f t="shared" si="3"/>
        <v>Nov</v>
      </c>
      <c r="H211" t="s">
        <v>26</v>
      </c>
      <c r="I211">
        <v>4</v>
      </c>
      <c r="J211">
        <v>11</v>
      </c>
      <c r="K211">
        <v>2004</v>
      </c>
      <c r="L211" t="s">
        <v>198</v>
      </c>
      <c r="M211">
        <v>115</v>
      </c>
      <c r="N211" t="s">
        <v>606</v>
      </c>
      <c r="O211" t="s">
        <v>175</v>
      </c>
      <c r="P211">
        <v>5085552555</v>
      </c>
      <c r="Q211" t="s">
        <v>176</v>
      </c>
      <c r="R211" t="s">
        <v>755</v>
      </c>
      <c r="S211" t="s">
        <v>177</v>
      </c>
      <c r="T211" t="s">
        <v>133</v>
      </c>
      <c r="U211">
        <v>50553</v>
      </c>
      <c r="V211" t="s">
        <v>33</v>
      </c>
      <c r="W211" t="s">
        <v>34</v>
      </c>
      <c r="X211" t="s">
        <v>178</v>
      </c>
      <c r="Y211" t="s">
        <v>179</v>
      </c>
      <c r="Z211" t="s">
        <v>37</v>
      </c>
    </row>
    <row r="212" spans="1:26" x14ac:dyDescent="0.3">
      <c r="A212">
        <v>10322</v>
      </c>
      <c r="B212">
        <v>40</v>
      </c>
      <c r="C212">
        <v>100</v>
      </c>
      <c r="D212">
        <v>1</v>
      </c>
      <c r="E212">
        <v>6000.4</v>
      </c>
      <c r="F212" s="2">
        <v>38295</v>
      </c>
      <c r="G212" s="2" t="str">
        <f t="shared" si="3"/>
        <v>Nov</v>
      </c>
      <c r="H212" t="s">
        <v>26</v>
      </c>
      <c r="I212">
        <v>4</v>
      </c>
      <c r="J212">
        <v>11</v>
      </c>
      <c r="K212">
        <v>2004</v>
      </c>
      <c r="L212" t="s">
        <v>198</v>
      </c>
      <c r="M212">
        <v>214</v>
      </c>
      <c r="N212" t="s">
        <v>199</v>
      </c>
      <c r="O212" t="s">
        <v>306</v>
      </c>
      <c r="P212">
        <v>6035558647</v>
      </c>
      <c r="Q212" t="s">
        <v>307</v>
      </c>
      <c r="R212" t="s">
        <v>755</v>
      </c>
      <c r="S212" t="s">
        <v>308</v>
      </c>
      <c r="T212" t="s">
        <v>309</v>
      </c>
      <c r="U212">
        <v>62005</v>
      </c>
      <c r="V212" t="s">
        <v>33</v>
      </c>
      <c r="W212" t="s">
        <v>34</v>
      </c>
      <c r="X212" t="s">
        <v>58</v>
      </c>
      <c r="Y212" t="s">
        <v>305</v>
      </c>
      <c r="Z212" t="s">
        <v>52</v>
      </c>
    </row>
    <row r="213" spans="1:26" x14ac:dyDescent="0.3">
      <c r="A213">
        <v>10323</v>
      </c>
      <c r="B213">
        <v>33</v>
      </c>
      <c r="C213">
        <v>91.27</v>
      </c>
      <c r="D213">
        <v>2</v>
      </c>
      <c r="E213">
        <v>3011.91</v>
      </c>
      <c r="F213" s="2">
        <v>38296</v>
      </c>
      <c r="G213" s="2" t="str">
        <f t="shared" si="3"/>
        <v>Nov</v>
      </c>
      <c r="H213" t="s">
        <v>26</v>
      </c>
      <c r="I213">
        <v>4</v>
      </c>
      <c r="J213">
        <v>11</v>
      </c>
      <c r="K213">
        <v>2004</v>
      </c>
      <c r="L213" t="s">
        <v>630</v>
      </c>
      <c r="M213">
        <v>99</v>
      </c>
      <c r="N213" t="s">
        <v>715</v>
      </c>
      <c r="O213" t="s">
        <v>521</v>
      </c>
      <c r="P213" t="s">
        <v>522</v>
      </c>
      <c r="Q213" t="s">
        <v>523</v>
      </c>
      <c r="R213" t="s">
        <v>755</v>
      </c>
      <c r="S213" t="s">
        <v>524</v>
      </c>
      <c r="T213" t="s">
        <v>755</v>
      </c>
      <c r="U213">
        <v>60528</v>
      </c>
      <c r="V213" t="s">
        <v>500</v>
      </c>
      <c r="W213" t="s">
        <v>43</v>
      </c>
      <c r="X213" t="s">
        <v>525</v>
      </c>
      <c r="Y213" t="s">
        <v>466</v>
      </c>
      <c r="Z213" t="s">
        <v>52</v>
      </c>
    </row>
    <row r="214" spans="1:26" x14ac:dyDescent="0.3">
      <c r="A214">
        <v>10324</v>
      </c>
      <c r="B214">
        <v>27</v>
      </c>
      <c r="C214">
        <v>54.33</v>
      </c>
      <c r="D214">
        <v>1</v>
      </c>
      <c r="E214">
        <v>1466.91</v>
      </c>
      <c r="F214" s="2">
        <v>38296</v>
      </c>
      <c r="G214" s="2" t="str">
        <f t="shared" si="3"/>
        <v>Nov</v>
      </c>
      <c r="H214" t="s">
        <v>26</v>
      </c>
      <c r="I214">
        <v>4</v>
      </c>
      <c r="J214">
        <v>11</v>
      </c>
      <c r="K214">
        <v>2004</v>
      </c>
      <c r="L214" t="s">
        <v>198</v>
      </c>
      <c r="M214">
        <v>151</v>
      </c>
      <c r="N214" t="s">
        <v>583</v>
      </c>
      <c r="O214" t="s">
        <v>105</v>
      </c>
      <c r="P214">
        <v>2125551500</v>
      </c>
      <c r="Q214" t="s">
        <v>106</v>
      </c>
      <c r="R214" t="s">
        <v>107</v>
      </c>
      <c r="S214" t="s">
        <v>31</v>
      </c>
      <c r="T214" t="s">
        <v>32</v>
      </c>
      <c r="U214">
        <v>10022</v>
      </c>
      <c r="V214" t="s">
        <v>33</v>
      </c>
      <c r="W214" t="s">
        <v>34</v>
      </c>
      <c r="X214" t="s">
        <v>108</v>
      </c>
      <c r="Y214" t="s">
        <v>109</v>
      </c>
      <c r="Z214" t="s">
        <v>37</v>
      </c>
    </row>
    <row r="215" spans="1:26" x14ac:dyDescent="0.3">
      <c r="A215">
        <v>10325</v>
      </c>
      <c r="B215">
        <v>47</v>
      </c>
      <c r="C215">
        <v>64.930000000000007</v>
      </c>
      <c r="D215">
        <v>6</v>
      </c>
      <c r="E215">
        <v>3051.71</v>
      </c>
      <c r="F215" s="2">
        <v>38296</v>
      </c>
      <c r="G215" s="2" t="str">
        <f t="shared" si="3"/>
        <v>Nov</v>
      </c>
      <c r="H215" t="s">
        <v>26</v>
      </c>
      <c r="I215">
        <v>4</v>
      </c>
      <c r="J215">
        <v>11</v>
      </c>
      <c r="K215">
        <v>2004</v>
      </c>
      <c r="L215" t="s">
        <v>198</v>
      </c>
      <c r="M215">
        <v>136</v>
      </c>
      <c r="N215" t="s">
        <v>358</v>
      </c>
      <c r="O215" t="s">
        <v>145</v>
      </c>
      <c r="P215" t="s">
        <v>146</v>
      </c>
      <c r="Q215" t="s">
        <v>147</v>
      </c>
      <c r="R215" t="s">
        <v>755</v>
      </c>
      <c r="S215" t="s">
        <v>148</v>
      </c>
      <c r="T215" t="s">
        <v>755</v>
      </c>
      <c r="U215">
        <v>4110</v>
      </c>
      <c r="V215" t="s">
        <v>82</v>
      </c>
      <c r="W215" t="s">
        <v>43</v>
      </c>
      <c r="X215" t="s">
        <v>149</v>
      </c>
      <c r="Y215" t="s">
        <v>150</v>
      </c>
      <c r="Z215" t="s">
        <v>52</v>
      </c>
    </row>
    <row r="216" spans="1:26" x14ac:dyDescent="0.3">
      <c r="A216">
        <v>10326</v>
      </c>
      <c r="B216">
        <v>32</v>
      </c>
      <c r="C216">
        <v>100</v>
      </c>
      <c r="D216">
        <v>6</v>
      </c>
      <c r="E216">
        <v>3807.68</v>
      </c>
      <c r="F216" s="2">
        <v>38300</v>
      </c>
      <c r="G216" s="2" t="str">
        <f t="shared" si="3"/>
        <v>Nov</v>
      </c>
      <c r="H216" t="s">
        <v>26</v>
      </c>
      <c r="I216">
        <v>4</v>
      </c>
      <c r="J216">
        <v>11</v>
      </c>
      <c r="K216">
        <v>2004</v>
      </c>
      <c r="L216" t="s">
        <v>711</v>
      </c>
      <c r="M216">
        <v>100</v>
      </c>
      <c r="N216" t="s">
        <v>712</v>
      </c>
      <c r="O216" t="s">
        <v>201</v>
      </c>
      <c r="P216" t="s">
        <v>202</v>
      </c>
      <c r="Q216" t="s">
        <v>203</v>
      </c>
      <c r="R216" t="s">
        <v>755</v>
      </c>
      <c r="S216" t="s">
        <v>204</v>
      </c>
      <c r="T216" t="s">
        <v>755</v>
      </c>
      <c r="U216" t="s">
        <v>205</v>
      </c>
      <c r="V216" t="s">
        <v>206</v>
      </c>
      <c r="W216" t="s">
        <v>43</v>
      </c>
      <c r="X216" t="s">
        <v>207</v>
      </c>
      <c r="Y216" t="s">
        <v>208</v>
      </c>
      <c r="Z216" t="s">
        <v>52</v>
      </c>
    </row>
    <row r="217" spans="1:26" x14ac:dyDescent="0.3">
      <c r="A217">
        <v>10327</v>
      </c>
      <c r="B217">
        <v>25</v>
      </c>
      <c r="C217">
        <v>100</v>
      </c>
      <c r="D217">
        <v>6</v>
      </c>
      <c r="E217">
        <v>2804.75</v>
      </c>
      <c r="F217" s="2">
        <v>38301</v>
      </c>
      <c r="G217" s="2" t="str">
        <f t="shared" si="3"/>
        <v>Nov</v>
      </c>
      <c r="H217" t="s">
        <v>460</v>
      </c>
      <c r="I217">
        <v>4</v>
      </c>
      <c r="J217">
        <v>11</v>
      </c>
      <c r="K217">
        <v>2004</v>
      </c>
      <c r="L217" t="s">
        <v>658</v>
      </c>
      <c r="M217">
        <v>157</v>
      </c>
      <c r="N217" t="s">
        <v>659</v>
      </c>
      <c r="O217" t="s">
        <v>359</v>
      </c>
      <c r="P217" t="s">
        <v>360</v>
      </c>
      <c r="Q217" t="s">
        <v>361</v>
      </c>
      <c r="R217" t="s">
        <v>755</v>
      </c>
      <c r="S217" t="s">
        <v>362</v>
      </c>
      <c r="T217" t="s">
        <v>755</v>
      </c>
      <c r="U217">
        <v>1734</v>
      </c>
      <c r="V217" t="s">
        <v>363</v>
      </c>
      <c r="W217" t="s">
        <v>43</v>
      </c>
      <c r="X217" t="s">
        <v>364</v>
      </c>
      <c r="Y217" t="s">
        <v>365</v>
      </c>
      <c r="Z217" t="s">
        <v>37</v>
      </c>
    </row>
    <row r="218" spans="1:26" x14ac:dyDescent="0.3">
      <c r="A218">
        <v>10328</v>
      </c>
      <c r="B218">
        <v>34</v>
      </c>
      <c r="C218">
        <v>100</v>
      </c>
      <c r="D218">
        <v>6</v>
      </c>
      <c r="E218">
        <v>3815.48</v>
      </c>
      <c r="F218" s="2">
        <v>38303</v>
      </c>
      <c r="G218" s="2" t="str">
        <f t="shared" si="3"/>
        <v>Nov</v>
      </c>
      <c r="H218" t="s">
        <v>26</v>
      </c>
      <c r="I218">
        <v>4</v>
      </c>
      <c r="J218">
        <v>11</v>
      </c>
      <c r="K218">
        <v>2004</v>
      </c>
      <c r="L218" t="s">
        <v>630</v>
      </c>
      <c r="M218">
        <v>105</v>
      </c>
      <c r="N218" t="s">
        <v>721</v>
      </c>
      <c r="O218" t="s">
        <v>636</v>
      </c>
      <c r="P218" t="s">
        <v>637</v>
      </c>
      <c r="Q218" t="s">
        <v>638</v>
      </c>
      <c r="R218" t="s">
        <v>755</v>
      </c>
      <c r="S218" t="s">
        <v>639</v>
      </c>
      <c r="T218" t="s">
        <v>755</v>
      </c>
      <c r="U218">
        <v>24100</v>
      </c>
      <c r="V218" t="s">
        <v>286</v>
      </c>
      <c r="W218" t="s">
        <v>43</v>
      </c>
      <c r="X218" t="s">
        <v>640</v>
      </c>
      <c r="Y218" t="s">
        <v>641</v>
      </c>
      <c r="Z218" t="s">
        <v>52</v>
      </c>
    </row>
    <row r="219" spans="1:26" x14ac:dyDescent="0.3">
      <c r="A219">
        <v>10329</v>
      </c>
      <c r="B219">
        <v>42</v>
      </c>
      <c r="C219">
        <v>100</v>
      </c>
      <c r="D219">
        <v>1</v>
      </c>
      <c r="E219">
        <v>4396.1400000000003</v>
      </c>
      <c r="F219" s="2">
        <v>38306</v>
      </c>
      <c r="G219" s="2" t="str">
        <f t="shared" si="3"/>
        <v>Nov</v>
      </c>
      <c r="H219" t="s">
        <v>26</v>
      </c>
      <c r="I219">
        <v>4</v>
      </c>
      <c r="J219">
        <v>11</v>
      </c>
      <c r="K219">
        <v>2004</v>
      </c>
      <c r="L219" t="s">
        <v>27</v>
      </c>
      <c r="M219">
        <v>95</v>
      </c>
      <c r="N219" t="s">
        <v>28</v>
      </c>
      <c r="O219" t="s">
        <v>29</v>
      </c>
      <c r="P219">
        <v>2125557818</v>
      </c>
      <c r="Q219" t="s">
        <v>30</v>
      </c>
      <c r="R219" t="s">
        <v>755</v>
      </c>
      <c r="S219" t="s">
        <v>31</v>
      </c>
      <c r="T219" t="s">
        <v>32</v>
      </c>
      <c r="U219">
        <v>10022</v>
      </c>
      <c r="V219" t="s">
        <v>33</v>
      </c>
      <c r="W219" t="s">
        <v>34</v>
      </c>
      <c r="X219" t="s">
        <v>35</v>
      </c>
      <c r="Y219" t="s">
        <v>36</v>
      </c>
      <c r="Z219" t="s">
        <v>52</v>
      </c>
    </row>
    <row r="220" spans="1:26" x14ac:dyDescent="0.3">
      <c r="A220">
        <v>10330</v>
      </c>
      <c r="B220">
        <v>37</v>
      </c>
      <c r="C220">
        <v>100</v>
      </c>
      <c r="D220">
        <v>3</v>
      </c>
      <c r="E220">
        <v>4405.22</v>
      </c>
      <c r="F220" s="2">
        <v>38307</v>
      </c>
      <c r="G220" s="2" t="str">
        <f t="shared" si="3"/>
        <v>Nov</v>
      </c>
      <c r="H220" t="s">
        <v>26</v>
      </c>
      <c r="I220">
        <v>4</v>
      </c>
      <c r="J220">
        <v>11</v>
      </c>
      <c r="K220">
        <v>2004</v>
      </c>
      <c r="L220" t="s">
        <v>198</v>
      </c>
      <c r="M220">
        <v>146</v>
      </c>
      <c r="N220" t="s">
        <v>717</v>
      </c>
      <c r="O220" t="s">
        <v>481</v>
      </c>
      <c r="P220" t="s">
        <v>482</v>
      </c>
      <c r="Q220" t="s">
        <v>483</v>
      </c>
      <c r="R220" t="s">
        <v>755</v>
      </c>
      <c r="S220" t="s">
        <v>484</v>
      </c>
      <c r="T220" t="s">
        <v>755</v>
      </c>
      <c r="U220" t="s">
        <v>485</v>
      </c>
      <c r="V220" t="s">
        <v>486</v>
      </c>
      <c r="W220" t="s">
        <v>221</v>
      </c>
      <c r="X220" t="s">
        <v>487</v>
      </c>
      <c r="Y220" t="s">
        <v>488</v>
      </c>
      <c r="Z220" t="s">
        <v>52</v>
      </c>
    </row>
    <row r="221" spans="1:26" x14ac:dyDescent="0.3">
      <c r="A221">
        <v>10331</v>
      </c>
      <c r="B221">
        <v>46</v>
      </c>
      <c r="C221">
        <v>100</v>
      </c>
      <c r="D221">
        <v>6</v>
      </c>
      <c r="E221">
        <v>6434.02</v>
      </c>
      <c r="F221" s="2">
        <v>38308</v>
      </c>
      <c r="G221" s="2" t="str">
        <f t="shared" si="3"/>
        <v>Nov</v>
      </c>
      <c r="H221" t="s">
        <v>26</v>
      </c>
      <c r="I221">
        <v>4</v>
      </c>
      <c r="J221">
        <v>11</v>
      </c>
      <c r="K221">
        <v>2004</v>
      </c>
      <c r="L221" t="s">
        <v>198</v>
      </c>
      <c r="M221">
        <v>141</v>
      </c>
      <c r="N221" t="s">
        <v>614</v>
      </c>
      <c r="O221" t="s">
        <v>344</v>
      </c>
      <c r="P221">
        <v>2155559857</v>
      </c>
      <c r="Q221" t="s">
        <v>345</v>
      </c>
      <c r="R221" t="s">
        <v>755</v>
      </c>
      <c r="S221" t="s">
        <v>239</v>
      </c>
      <c r="T221" t="s">
        <v>154</v>
      </c>
      <c r="U221">
        <v>71270</v>
      </c>
      <c r="V221" t="s">
        <v>33</v>
      </c>
      <c r="W221" t="s">
        <v>34</v>
      </c>
      <c r="X221" t="s">
        <v>134</v>
      </c>
      <c r="Y221" t="s">
        <v>346</v>
      </c>
      <c r="Z221" t="s">
        <v>52</v>
      </c>
    </row>
    <row r="222" spans="1:26" x14ac:dyDescent="0.3">
      <c r="A222">
        <v>10332</v>
      </c>
      <c r="B222">
        <v>46</v>
      </c>
      <c r="C222">
        <v>95.13</v>
      </c>
      <c r="D222">
        <v>15</v>
      </c>
      <c r="E222">
        <v>4375.9799999999996</v>
      </c>
      <c r="F222" s="2">
        <v>38308</v>
      </c>
      <c r="G222" s="2" t="str">
        <f t="shared" si="3"/>
        <v>Nov</v>
      </c>
      <c r="H222" t="s">
        <v>26</v>
      </c>
      <c r="I222">
        <v>4</v>
      </c>
      <c r="J222">
        <v>11</v>
      </c>
      <c r="K222">
        <v>2004</v>
      </c>
      <c r="L222" t="s">
        <v>630</v>
      </c>
      <c r="M222">
        <v>102</v>
      </c>
      <c r="N222" t="s">
        <v>631</v>
      </c>
      <c r="O222" t="s">
        <v>558</v>
      </c>
      <c r="P222" t="s">
        <v>559</v>
      </c>
      <c r="Q222" t="s">
        <v>560</v>
      </c>
      <c r="R222" t="s">
        <v>755</v>
      </c>
      <c r="S222" t="s">
        <v>561</v>
      </c>
      <c r="T222" t="s">
        <v>755</v>
      </c>
      <c r="U222" t="s">
        <v>562</v>
      </c>
      <c r="V222" t="s">
        <v>185</v>
      </c>
      <c r="W222" t="s">
        <v>43</v>
      </c>
      <c r="X222" t="s">
        <v>563</v>
      </c>
      <c r="Y222" t="s">
        <v>100</v>
      </c>
      <c r="Z222" t="s">
        <v>52</v>
      </c>
    </row>
    <row r="223" spans="1:26" x14ac:dyDescent="0.3">
      <c r="A223">
        <v>10333</v>
      </c>
      <c r="B223">
        <v>26</v>
      </c>
      <c r="C223">
        <v>100</v>
      </c>
      <c r="D223">
        <v>3</v>
      </c>
      <c r="E223">
        <v>3003</v>
      </c>
      <c r="F223" s="2">
        <v>38309</v>
      </c>
      <c r="G223" s="2" t="str">
        <f t="shared" si="3"/>
        <v>Nov</v>
      </c>
      <c r="H223" t="s">
        <v>26</v>
      </c>
      <c r="I223">
        <v>4</v>
      </c>
      <c r="J223">
        <v>11</v>
      </c>
      <c r="K223">
        <v>2004</v>
      </c>
      <c r="L223" t="s">
        <v>198</v>
      </c>
      <c r="M223">
        <v>214</v>
      </c>
      <c r="N223" t="s">
        <v>199</v>
      </c>
      <c r="O223" t="s">
        <v>85</v>
      </c>
      <c r="P223">
        <v>6505555787</v>
      </c>
      <c r="Q223" t="s">
        <v>86</v>
      </c>
      <c r="R223" t="s">
        <v>755</v>
      </c>
      <c r="S223" t="s">
        <v>62</v>
      </c>
      <c r="T223" t="s">
        <v>57</v>
      </c>
      <c r="U223" t="s">
        <v>755</v>
      </c>
      <c r="V223" t="s">
        <v>33</v>
      </c>
      <c r="W223" t="s">
        <v>34</v>
      </c>
      <c r="X223" t="s">
        <v>87</v>
      </c>
      <c r="Y223" t="s">
        <v>59</v>
      </c>
      <c r="Z223" t="s">
        <v>52</v>
      </c>
    </row>
    <row r="224" spans="1:26" x14ac:dyDescent="0.3">
      <c r="A224">
        <v>10334</v>
      </c>
      <c r="B224">
        <v>26</v>
      </c>
      <c r="C224">
        <v>100</v>
      </c>
      <c r="D224">
        <v>2</v>
      </c>
      <c r="E224">
        <v>3188.12</v>
      </c>
      <c r="F224" s="2">
        <v>38310</v>
      </c>
      <c r="G224" s="2" t="str">
        <f t="shared" si="3"/>
        <v>Nov</v>
      </c>
      <c r="H224" t="s">
        <v>452</v>
      </c>
      <c r="I224">
        <v>4</v>
      </c>
      <c r="J224">
        <v>11</v>
      </c>
      <c r="K224">
        <v>2004</v>
      </c>
      <c r="L224" t="s">
        <v>198</v>
      </c>
      <c r="M224">
        <v>147</v>
      </c>
      <c r="N224" t="s">
        <v>453</v>
      </c>
      <c r="O224" t="s">
        <v>201</v>
      </c>
      <c r="P224" t="s">
        <v>202</v>
      </c>
      <c r="Q224" t="s">
        <v>203</v>
      </c>
      <c r="R224" t="s">
        <v>755</v>
      </c>
      <c r="S224" t="s">
        <v>204</v>
      </c>
      <c r="T224" t="s">
        <v>755</v>
      </c>
      <c r="U224" t="s">
        <v>205</v>
      </c>
      <c r="V224" t="s">
        <v>206</v>
      </c>
      <c r="W224" t="s">
        <v>43</v>
      </c>
      <c r="X224" t="s">
        <v>207</v>
      </c>
      <c r="Y224" t="s">
        <v>208</v>
      </c>
      <c r="Z224" t="s">
        <v>52</v>
      </c>
    </row>
    <row r="225" spans="1:26" x14ac:dyDescent="0.3">
      <c r="A225">
        <v>10335</v>
      </c>
      <c r="B225">
        <v>33</v>
      </c>
      <c r="C225">
        <v>37.130000000000003</v>
      </c>
      <c r="D225">
        <v>2</v>
      </c>
      <c r="E225">
        <v>1225.29</v>
      </c>
      <c r="F225" s="2">
        <v>38310</v>
      </c>
      <c r="G225" s="2" t="str">
        <f t="shared" si="3"/>
        <v>Nov</v>
      </c>
      <c r="H225" t="s">
        <v>26</v>
      </c>
      <c r="I225">
        <v>4</v>
      </c>
      <c r="J225">
        <v>11</v>
      </c>
      <c r="K225">
        <v>2004</v>
      </c>
      <c r="L225" t="s">
        <v>198</v>
      </c>
      <c r="M225">
        <v>35</v>
      </c>
      <c r="N225" t="s">
        <v>735</v>
      </c>
      <c r="O225" t="s">
        <v>301</v>
      </c>
      <c r="P225">
        <v>4155551450</v>
      </c>
      <c r="Q225" t="s">
        <v>302</v>
      </c>
      <c r="R225" t="s">
        <v>755</v>
      </c>
      <c r="S225" t="s">
        <v>303</v>
      </c>
      <c r="T225" t="s">
        <v>57</v>
      </c>
      <c r="U225">
        <v>97562</v>
      </c>
      <c r="V225" t="s">
        <v>33</v>
      </c>
      <c r="W225" t="s">
        <v>34</v>
      </c>
      <c r="X225" t="s">
        <v>304</v>
      </c>
      <c r="Y225" t="s">
        <v>305</v>
      </c>
      <c r="Z225" t="s">
        <v>37</v>
      </c>
    </row>
    <row r="226" spans="1:26" x14ac:dyDescent="0.3">
      <c r="A226">
        <v>10336</v>
      </c>
      <c r="B226">
        <v>33</v>
      </c>
      <c r="C226">
        <v>57.22</v>
      </c>
      <c r="D226">
        <v>10</v>
      </c>
      <c r="E226">
        <v>1888.26</v>
      </c>
      <c r="F226" s="2">
        <v>38311</v>
      </c>
      <c r="G226" s="2" t="str">
        <f t="shared" si="3"/>
        <v>Nov</v>
      </c>
      <c r="H226" t="s">
        <v>26</v>
      </c>
      <c r="I226">
        <v>4</v>
      </c>
      <c r="J226">
        <v>11</v>
      </c>
      <c r="K226">
        <v>2004</v>
      </c>
      <c r="L226" t="s">
        <v>198</v>
      </c>
      <c r="M226">
        <v>207</v>
      </c>
      <c r="N226" t="s">
        <v>536</v>
      </c>
      <c r="O226" t="s">
        <v>454</v>
      </c>
      <c r="P226" t="s">
        <v>455</v>
      </c>
      <c r="Q226" t="s">
        <v>456</v>
      </c>
      <c r="R226" t="s">
        <v>755</v>
      </c>
      <c r="S226" t="s">
        <v>49</v>
      </c>
      <c r="T226" t="s">
        <v>755</v>
      </c>
      <c r="U226">
        <v>75012</v>
      </c>
      <c r="V226" t="s">
        <v>42</v>
      </c>
      <c r="W226" t="s">
        <v>43</v>
      </c>
      <c r="X226" t="s">
        <v>457</v>
      </c>
      <c r="Y226" t="s">
        <v>458</v>
      </c>
      <c r="Z226" t="s">
        <v>37</v>
      </c>
    </row>
    <row r="227" spans="1:26" x14ac:dyDescent="0.3">
      <c r="A227">
        <v>10337</v>
      </c>
      <c r="B227">
        <v>25</v>
      </c>
      <c r="C227">
        <v>48.05</v>
      </c>
      <c r="D227">
        <v>8</v>
      </c>
      <c r="E227">
        <v>1201.25</v>
      </c>
      <c r="F227" s="2">
        <v>38312</v>
      </c>
      <c r="G227" s="2" t="str">
        <f t="shared" si="3"/>
        <v>Nov</v>
      </c>
      <c r="H227" t="s">
        <v>26</v>
      </c>
      <c r="I227">
        <v>4</v>
      </c>
      <c r="J227">
        <v>11</v>
      </c>
      <c r="K227">
        <v>2004</v>
      </c>
      <c r="L227" t="s">
        <v>198</v>
      </c>
      <c r="M227">
        <v>136</v>
      </c>
      <c r="N227" t="s">
        <v>358</v>
      </c>
      <c r="O227" t="s">
        <v>225</v>
      </c>
      <c r="P227">
        <v>2125558493</v>
      </c>
      <c r="Q227" t="s">
        <v>226</v>
      </c>
      <c r="R227" t="s">
        <v>227</v>
      </c>
      <c r="S227" t="s">
        <v>31</v>
      </c>
      <c r="T227" t="s">
        <v>32</v>
      </c>
      <c r="U227">
        <v>10022</v>
      </c>
      <c r="V227" t="s">
        <v>33</v>
      </c>
      <c r="W227" t="s">
        <v>34</v>
      </c>
      <c r="X227" t="s">
        <v>134</v>
      </c>
      <c r="Y227" t="s">
        <v>228</v>
      </c>
      <c r="Z227" t="s">
        <v>37</v>
      </c>
    </row>
    <row r="228" spans="1:26" x14ac:dyDescent="0.3">
      <c r="A228">
        <v>10338</v>
      </c>
      <c r="B228">
        <v>41</v>
      </c>
      <c r="C228">
        <v>100</v>
      </c>
      <c r="D228">
        <v>1</v>
      </c>
      <c r="E228">
        <v>5624.79</v>
      </c>
      <c r="F228" s="2">
        <v>38313</v>
      </c>
      <c r="G228" s="2" t="str">
        <f t="shared" si="3"/>
        <v>Nov</v>
      </c>
      <c r="H228" t="s">
        <v>26</v>
      </c>
      <c r="I228">
        <v>4</v>
      </c>
      <c r="J228">
        <v>11</v>
      </c>
      <c r="K228">
        <v>2004</v>
      </c>
      <c r="L228" t="s">
        <v>658</v>
      </c>
      <c r="M228">
        <v>157</v>
      </c>
      <c r="N228" t="s">
        <v>659</v>
      </c>
      <c r="O228" t="s">
        <v>675</v>
      </c>
      <c r="P228" t="s">
        <v>676</v>
      </c>
      <c r="Q228" t="s">
        <v>677</v>
      </c>
      <c r="R228" t="s">
        <v>755</v>
      </c>
      <c r="S228" t="s">
        <v>678</v>
      </c>
      <c r="T228" t="s">
        <v>755</v>
      </c>
      <c r="U228" t="s">
        <v>679</v>
      </c>
      <c r="V228" t="s">
        <v>414</v>
      </c>
      <c r="W228" t="s">
        <v>43</v>
      </c>
      <c r="X228" t="s">
        <v>680</v>
      </c>
      <c r="Y228" t="s">
        <v>681</v>
      </c>
      <c r="Z228" t="s">
        <v>52</v>
      </c>
    </row>
    <row r="229" spans="1:26" x14ac:dyDescent="0.3">
      <c r="A229">
        <v>10339</v>
      </c>
      <c r="B229">
        <v>40</v>
      </c>
      <c r="C229">
        <v>68.92</v>
      </c>
      <c r="D229">
        <v>4</v>
      </c>
      <c r="E229">
        <v>2756.8</v>
      </c>
      <c r="F229" s="2">
        <v>38314</v>
      </c>
      <c r="G229" s="2" t="str">
        <f t="shared" si="3"/>
        <v>Nov</v>
      </c>
      <c r="H229" t="s">
        <v>26</v>
      </c>
      <c r="I229">
        <v>4</v>
      </c>
      <c r="J229">
        <v>11</v>
      </c>
      <c r="K229">
        <v>2004</v>
      </c>
      <c r="L229" t="s">
        <v>27</v>
      </c>
      <c r="M229">
        <v>118</v>
      </c>
      <c r="N229" t="s">
        <v>336</v>
      </c>
      <c r="O229" t="s">
        <v>272</v>
      </c>
      <c r="P229" t="s">
        <v>273</v>
      </c>
      <c r="Q229" t="s">
        <v>274</v>
      </c>
      <c r="R229" t="s">
        <v>755</v>
      </c>
      <c r="S229" t="s">
        <v>275</v>
      </c>
      <c r="T229" t="s">
        <v>276</v>
      </c>
      <c r="U229" t="s">
        <v>277</v>
      </c>
      <c r="V229" t="s">
        <v>221</v>
      </c>
      <c r="W229" t="s">
        <v>221</v>
      </c>
      <c r="X229" t="s">
        <v>278</v>
      </c>
      <c r="Y229" t="s">
        <v>279</v>
      </c>
      <c r="Z229" t="s">
        <v>37</v>
      </c>
    </row>
    <row r="230" spans="1:26" x14ac:dyDescent="0.3">
      <c r="A230">
        <v>10340</v>
      </c>
      <c r="B230">
        <v>55</v>
      </c>
      <c r="C230">
        <v>79.98</v>
      </c>
      <c r="D230">
        <v>8</v>
      </c>
      <c r="E230">
        <v>4398.8999999999996</v>
      </c>
      <c r="F230" s="2">
        <v>38315</v>
      </c>
      <c r="G230" s="2" t="str">
        <f t="shared" si="3"/>
        <v>Nov</v>
      </c>
      <c r="H230" t="s">
        <v>26</v>
      </c>
      <c r="I230">
        <v>4</v>
      </c>
      <c r="J230">
        <v>11</v>
      </c>
      <c r="K230">
        <v>2004</v>
      </c>
      <c r="L230" t="s">
        <v>27</v>
      </c>
      <c r="M230">
        <v>76</v>
      </c>
      <c r="N230" t="s">
        <v>729</v>
      </c>
      <c r="O230" t="s">
        <v>393</v>
      </c>
      <c r="P230" t="s">
        <v>394</v>
      </c>
      <c r="Q230" t="s">
        <v>395</v>
      </c>
      <c r="R230" t="s">
        <v>755</v>
      </c>
      <c r="S230" t="s">
        <v>396</v>
      </c>
      <c r="T230" t="s">
        <v>755</v>
      </c>
      <c r="U230">
        <v>8022</v>
      </c>
      <c r="V230" t="s">
        <v>194</v>
      </c>
      <c r="W230" t="s">
        <v>43</v>
      </c>
      <c r="X230" t="s">
        <v>397</v>
      </c>
      <c r="Y230" t="s">
        <v>398</v>
      </c>
      <c r="Z230" t="s">
        <v>52</v>
      </c>
    </row>
    <row r="231" spans="1:26" x14ac:dyDescent="0.3">
      <c r="A231">
        <v>10341</v>
      </c>
      <c r="B231">
        <v>41</v>
      </c>
      <c r="C231">
        <v>100</v>
      </c>
      <c r="D231">
        <v>9</v>
      </c>
      <c r="E231">
        <v>7737.93</v>
      </c>
      <c r="F231" s="2">
        <v>38315</v>
      </c>
      <c r="G231" s="2" t="str">
        <f t="shared" si="3"/>
        <v>Nov</v>
      </c>
      <c r="H231" t="s">
        <v>26</v>
      </c>
      <c r="I231">
        <v>4</v>
      </c>
      <c r="J231">
        <v>11</v>
      </c>
      <c r="K231">
        <v>2004</v>
      </c>
      <c r="L231" t="s">
        <v>27</v>
      </c>
      <c r="M231">
        <v>95</v>
      </c>
      <c r="N231" t="s">
        <v>28</v>
      </c>
      <c r="O231" t="s">
        <v>158</v>
      </c>
      <c r="P231" t="s">
        <v>159</v>
      </c>
      <c r="Q231" t="s">
        <v>160</v>
      </c>
      <c r="R231" t="s">
        <v>755</v>
      </c>
      <c r="S231" t="s">
        <v>161</v>
      </c>
      <c r="T231" t="s">
        <v>755</v>
      </c>
      <c r="U231">
        <v>5020</v>
      </c>
      <c r="V231" t="s">
        <v>162</v>
      </c>
      <c r="W231" t="s">
        <v>43</v>
      </c>
      <c r="X231" t="s">
        <v>163</v>
      </c>
      <c r="Y231" t="s">
        <v>164</v>
      </c>
      <c r="Z231" t="s">
        <v>165</v>
      </c>
    </row>
    <row r="232" spans="1:26" x14ac:dyDescent="0.3">
      <c r="A232">
        <v>10342</v>
      </c>
      <c r="B232">
        <v>40</v>
      </c>
      <c r="C232">
        <v>100</v>
      </c>
      <c r="D232">
        <v>2</v>
      </c>
      <c r="E232">
        <v>6454.4</v>
      </c>
      <c r="F232" s="2">
        <v>38315</v>
      </c>
      <c r="G232" s="2" t="str">
        <f t="shared" si="3"/>
        <v>Nov</v>
      </c>
      <c r="H232" t="s">
        <v>26</v>
      </c>
      <c r="I232">
        <v>4</v>
      </c>
      <c r="J232">
        <v>11</v>
      </c>
      <c r="K232">
        <v>2004</v>
      </c>
      <c r="L232" t="s">
        <v>198</v>
      </c>
      <c r="M232">
        <v>141</v>
      </c>
      <c r="N232" t="s">
        <v>614</v>
      </c>
      <c r="O232" t="s">
        <v>95</v>
      </c>
      <c r="P232" t="s">
        <v>96</v>
      </c>
      <c r="Q232" t="s">
        <v>97</v>
      </c>
      <c r="R232" t="s">
        <v>98</v>
      </c>
      <c r="S232" t="s">
        <v>99</v>
      </c>
      <c r="T232" t="s">
        <v>100</v>
      </c>
      <c r="U232">
        <v>3004</v>
      </c>
      <c r="V232" t="s">
        <v>101</v>
      </c>
      <c r="W232" t="s">
        <v>102</v>
      </c>
      <c r="X232" t="s">
        <v>103</v>
      </c>
      <c r="Y232" t="s">
        <v>104</v>
      </c>
      <c r="Z232" t="s">
        <v>52</v>
      </c>
    </row>
    <row r="233" spans="1:26" x14ac:dyDescent="0.3">
      <c r="A233">
        <v>10343</v>
      </c>
      <c r="B233">
        <v>36</v>
      </c>
      <c r="C233">
        <v>100</v>
      </c>
      <c r="D233">
        <v>4</v>
      </c>
      <c r="E233">
        <v>5848.92</v>
      </c>
      <c r="F233" s="2">
        <v>38315</v>
      </c>
      <c r="G233" s="2" t="str">
        <f t="shared" si="3"/>
        <v>Nov</v>
      </c>
      <c r="H233" t="s">
        <v>26</v>
      </c>
      <c r="I233">
        <v>4</v>
      </c>
      <c r="J233">
        <v>11</v>
      </c>
      <c r="K233">
        <v>2004</v>
      </c>
      <c r="L233" t="s">
        <v>198</v>
      </c>
      <c r="M233">
        <v>124</v>
      </c>
      <c r="N233" t="s">
        <v>653</v>
      </c>
      <c r="O233" t="s">
        <v>38</v>
      </c>
      <c r="P233" t="s">
        <v>39</v>
      </c>
      <c r="Q233" t="s">
        <v>40</v>
      </c>
      <c r="R233" t="s">
        <v>755</v>
      </c>
      <c r="S233" t="s">
        <v>41</v>
      </c>
      <c r="T233" t="s">
        <v>755</v>
      </c>
      <c r="U233">
        <v>51100</v>
      </c>
      <c r="V233" t="s">
        <v>42</v>
      </c>
      <c r="W233" t="s">
        <v>43</v>
      </c>
      <c r="X233" t="s">
        <v>44</v>
      </c>
      <c r="Y233" t="s">
        <v>45</v>
      </c>
      <c r="Z233" t="s">
        <v>52</v>
      </c>
    </row>
    <row r="234" spans="1:26" x14ac:dyDescent="0.3">
      <c r="A234">
        <v>10344</v>
      </c>
      <c r="B234">
        <v>45</v>
      </c>
      <c r="C234">
        <v>100</v>
      </c>
      <c r="D234">
        <v>1</v>
      </c>
      <c r="E234">
        <v>7650</v>
      </c>
      <c r="F234" s="2">
        <v>38316</v>
      </c>
      <c r="G234" s="2" t="str">
        <f t="shared" si="3"/>
        <v>Nov</v>
      </c>
      <c r="H234" t="s">
        <v>26</v>
      </c>
      <c r="I234">
        <v>4</v>
      </c>
      <c r="J234">
        <v>11</v>
      </c>
      <c r="K234">
        <v>2004</v>
      </c>
      <c r="L234" t="s">
        <v>630</v>
      </c>
      <c r="M234">
        <v>170</v>
      </c>
      <c r="N234" t="s">
        <v>683</v>
      </c>
      <c r="O234" t="s">
        <v>489</v>
      </c>
      <c r="P234" t="s">
        <v>490</v>
      </c>
      <c r="Q234" t="s">
        <v>491</v>
      </c>
      <c r="R234" t="s">
        <v>755</v>
      </c>
      <c r="S234" t="s">
        <v>492</v>
      </c>
      <c r="T234" t="s">
        <v>755</v>
      </c>
      <c r="U234">
        <v>13008</v>
      </c>
      <c r="V234" t="s">
        <v>42</v>
      </c>
      <c r="W234" t="s">
        <v>43</v>
      </c>
      <c r="X234" t="s">
        <v>493</v>
      </c>
      <c r="Y234" t="s">
        <v>494</v>
      </c>
      <c r="Z234" t="s">
        <v>165</v>
      </c>
    </row>
    <row r="235" spans="1:26" x14ac:dyDescent="0.3">
      <c r="A235">
        <v>10345</v>
      </c>
      <c r="B235">
        <v>43</v>
      </c>
      <c r="C235">
        <v>53.76</v>
      </c>
      <c r="D235">
        <v>1</v>
      </c>
      <c r="E235">
        <v>2311.6799999999998</v>
      </c>
      <c r="F235" s="2">
        <v>38316</v>
      </c>
      <c r="G235" s="2" t="str">
        <f t="shared" si="3"/>
        <v>Nov</v>
      </c>
      <c r="H235" t="s">
        <v>26</v>
      </c>
      <c r="I235">
        <v>4</v>
      </c>
      <c r="J235">
        <v>11</v>
      </c>
      <c r="K235">
        <v>2004</v>
      </c>
      <c r="L235" t="s">
        <v>630</v>
      </c>
      <c r="M235">
        <v>44</v>
      </c>
      <c r="N235" t="s">
        <v>730</v>
      </c>
      <c r="O235" t="s">
        <v>348</v>
      </c>
      <c r="P235" t="s">
        <v>349</v>
      </c>
      <c r="Q235" t="s">
        <v>350</v>
      </c>
      <c r="R235" t="s">
        <v>755</v>
      </c>
      <c r="S235" t="s">
        <v>126</v>
      </c>
      <c r="T235" t="s">
        <v>755</v>
      </c>
      <c r="U235">
        <v>44000</v>
      </c>
      <c r="V235" t="s">
        <v>42</v>
      </c>
      <c r="W235" t="s">
        <v>43</v>
      </c>
      <c r="X235" t="s">
        <v>351</v>
      </c>
      <c r="Y235" t="s">
        <v>352</v>
      </c>
      <c r="Z235" t="s">
        <v>37</v>
      </c>
    </row>
    <row r="236" spans="1:26" x14ac:dyDescent="0.3">
      <c r="A236">
        <v>10346</v>
      </c>
      <c r="B236">
        <v>42</v>
      </c>
      <c r="C236">
        <v>36.11</v>
      </c>
      <c r="D236">
        <v>3</v>
      </c>
      <c r="E236">
        <v>1516.62</v>
      </c>
      <c r="F236" s="2">
        <v>38320</v>
      </c>
      <c r="G236" s="2" t="str">
        <f t="shared" si="3"/>
        <v>Nov</v>
      </c>
      <c r="H236" t="s">
        <v>26</v>
      </c>
      <c r="I236">
        <v>4</v>
      </c>
      <c r="J236">
        <v>11</v>
      </c>
      <c r="K236">
        <v>2004</v>
      </c>
      <c r="L236" t="s">
        <v>630</v>
      </c>
      <c r="M236">
        <v>102</v>
      </c>
      <c r="N236" t="s">
        <v>631</v>
      </c>
      <c r="O236" t="s">
        <v>617</v>
      </c>
      <c r="P236">
        <v>7025551838</v>
      </c>
      <c r="Q236" t="s">
        <v>618</v>
      </c>
      <c r="R236" t="s">
        <v>755</v>
      </c>
      <c r="S236" t="s">
        <v>619</v>
      </c>
      <c r="T236" t="s">
        <v>620</v>
      </c>
      <c r="U236">
        <v>83030</v>
      </c>
      <c r="V236" t="s">
        <v>33</v>
      </c>
      <c r="W236" t="s">
        <v>34</v>
      </c>
      <c r="X236" t="s">
        <v>121</v>
      </c>
      <c r="Y236" t="s">
        <v>451</v>
      </c>
      <c r="Z236" t="s">
        <v>37</v>
      </c>
    </row>
    <row r="237" spans="1:26" x14ac:dyDescent="0.3">
      <c r="A237">
        <v>10347</v>
      </c>
      <c r="B237">
        <v>30</v>
      </c>
      <c r="C237">
        <v>100</v>
      </c>
      <c r="D237">
        <v>1</v>
      </c>
      <c r="E237">
        <v>3944.7</v>
      </c>
      <c r="F237" s="2">
        <v>38320</v>
      </c>
      <c r="G237" s="2" t="str">
        <f t="shared" si="3"/>
        <v>Nov</v>
      </c>
      <c r="H237" t="s">
        <v>26</v>
      </c>
      <c r="I237">
        <v>4</v>
      </c>
      <c r="J237">
        <v>11</v>
      </c>
      <c r="K237">
        <v>2004</v>
      </c>
      <c r="L237" t="s">
        <v>198</v>
      </c>
      <c r="M237">
        <v>214</v>
      </c>
      <c r="N237" t="s">
        <v>199</v>
      </c>
      <c r="O237" t="s">
        <v>95</v>
      </c>
      <c r="P237" t="s">
        <v>96</v>
      </c>
      <c r="Q237" t="s">
        <v>97</v>
      </c>
      <c r="R237" t="s">
        <v>98</v>
      </c>
      <c r="S237" t="s">
        <v>99</v>
      </c>
      <c r="T237" t="s">
        <v>100</v>
      </c>
      <c r="U237">
        <v>3004</v>
      </c>
      <c r="V237" t="s">
        <v>101</v>
      </c>
      <c r="W237" t="s">
        <v>102</v>
      </c>
      <c r="X237" t="s">
        <v>103</v>
      </c>
      <c r="Y237" t="s">
        <v>104</v>
      </c>
      <c r="Z237" t="s">
        <v>52</v>
      </c>
    </row>
    <row r="238" spans="1:26" x14ac:dyDescent="0.3">
      <c r="A238">
        <v>10348</v>
      </c>
      <c r="B238">
        <v>48</v>
      </c>
      <c r="C238">
        <v>52.36</v>
      </c>
      <c r="D238">
        <v>8</v>
      </c>
      <c r="E238">
        <v>2513.2800000000002</v>
      </c>
      <c r="F238" s="2">
        <v>38292</v>
      </c>
      <c r="G238" s="2" t="str">
        <f t="shared" si="3"/>
        <v>Nov</v>
      </c>
      <c r="H238" t="s">
        <v>26</v>
      </c>
      <c r="I238">
        <v>4</v>
      </c>
      <c r="J238">
        <v>11</v>
      </c>
      <c r="K238">
        <v>2004</v>
      </c>
      <c r="L238" t="s">
        <v>198</v>
      </c>
      <c r="M238">
        <v>207</v>
      </c>
      <c r="N238" t="s">
        <v>536</v>
      </c>
      <c r="O238" t="s">
        <v>210</v>
      </c>
      <c r="P238" t="s">
        <v>211</v>
      </c>
      <c r="Q238" t="s">
        <v>212</v>
      </c>
      <c r="R238" t="s">
        <v>755</v>
      </c>
      <c r="S238" t="s">
        <v>193</v>
      </c>
      <c r="T238" t="s">
        <v>755</v>
      </c>
      <c r="U238">
        <v>28023</v>
      </c>
      <c r="V238" t="s">
        <v>194</v>
      </c>
      <c r="W238" t="s">
        <v>43</v>
      </c>
      <c r="X238" t="s">
        <v>213</v>
      </c>
      <c r="Y238" t="s">
        <v>214</v>
      </c>
      <c r="Z238" t="s">
        <v>37</v>
      </c>
    </row>
    <row r="239" spans="1:26" x14ac:dyDescent="0.3">
      <c r="A239">
        <v>10349</v>
      </c>
      <c r="B239">
        <v>26</v>
      </c>
      <c r="C239">
        <v>100</v>
      </c>
      <c r="D239">
        <v>10</v>
      </c>
      <c r="E239">
        <v>4408.5600000000004</v>
      </c>
      <c r="F239" s="2">
        <v>38322</v>
      </c>
      <c r="G239" s="2" t="str">
        <f t="shared" si="3"/>
        <v>Dec</v>
      </c>
      <c r="H239" t="s">
        <v>26</v>
      </c>
      <c r="I239">
        <v>4</v>
      </c>
      <c r="J239">
        <v>12</v>
      </c>
      <c r="K239">
        <v>2004</v>
      </c>
      <c r="L239" t="s">
        <v>198</v>
      </c>
      <c r="M239">
        <v>173</v>
      </c>
      <c r="N239" t="s">
        <v>591</v>
      </c>
      <c r="O239" t="s">
        <v>537</v>
      </c>
      <c r="P239">
        <v>2125557413</v>
      </c>
      <c r="Q239" t="s">
        <v>538</v>
      </c>
      <c r="R239" t="s">
        <v>539</v>
      </c>
      <c r="S239" t="s">
        <v>31</v>
      </c>
      <c r="T239" t="s">
        <v>32</v>
      </c>
      <c r="U239">
        <v>10022</v>
      </c>
      <c r="V239" t="s">
        <v>33</v>
      </c>
      <c r="W239" t="s">
        <v>34</v>
      </c>
      <c r="X239" t="s">
        <v>58</v>
      </c>
      <c r="Y239" t="s">
        <v>540</v>
      </c>
      <c r="Z239" t="s">
        <v>52</v>
      </c>
    </row>
    <row r="240" spans="1:26" x14ac:dyDescent="0.3">
      <c r="A240">
        <v>10350</v>
      </c>
      <c r="B240">
        <v>26</v>
      </c>
      <c r="C240">
        <v>75.47</v>
      </c>
      <c r="D240">
        <v>5</v>
      </c>
      <c r="E240">
        <v>1962.22</v>
      </c>
      <c r="F240" s="2">
        <v>38323</v>
      </c>
      <c r="G240" s="2" t="str">
        <f t="shared" si="3"/>
        <v>Dec</v>
      </c>
      <c r="H240" t="s">
        <v>26</v>
      </c>
      <c r="I240">
        <v>4</v>
      </c>
      <c r="J240">
        <v>12</v>
      </c>
      <c r="K240">
        <v>2004</v>
      </c>
      <c r="L240" t="s">
        <v>198</v>
      </c>
      <c r="M240">
        <v>136</v>
      </c>
      <c r="N240" t="s">
        <v>358</v>
      </c>
      <c r="O240" t="s">
        <v>190</v>
      </c>
      <c r="P240" t="s">
        <v>191</v>
      </c>
      <c r="Q240" t="s">
        <v>192</v>
      </c>
      <c r="R240" t="s">
        <v>755</v>
      </c>
      <c r="S240" t="s">
        <v>193</v>
      </c>
      <c r="T240" t="s">
        <v>755</v>
      </c>
      <c r="U240">
        <v>28034</v>
      </c>
      <c r="V240" t="s">
        <v>194</v>
      </c>
      <c r="W240" t="s">
        <v>43</v>
      </c>
      <c r="X240" t="s">
        <v>195</v>
      </c>
      <c r="Y240" t="s">
        <v>196</v>
      </c>
      <c r="Z240" t="s">
        <v>37</v>
      </c>
    </row>
    <row r="241" spans="1:26" x14ac:dyDescent="0.3">
      <c r="A241">
        <v>10351</v>
      </c>
      <c r="B241">
        <v>39</v>
      </c>
      <c r="C241">
        <v>99.52</v>
      </c>
      <c r="D241">
        <v>1</v>
      </c>
      <c r="E241">
        <v>3881.28</v>
      </c>
      <c r="F241" s="2">
        <v>38324</v>
      </c>
      <c r="G241" s="2" t="str">
        <f t="shared" si="3"/>
        <v>Dec</v>
      </c>
      <c r="H241" t="s">
        <v>26</v>
      </c>
      <c r="I241">
        <v>4</v>
      </c>
      <c r="J241">
        <v>12</v>
      </c>
      <c r="K241">
        <v>2004</v>
      </c>
      <c r="L241" t="s">
        <v>658</v>
      </c>
      <c r="M241">
        <v>157</v>
      </c>
      <c r="N241" t="s">
        <v>659</v>
      </c>
      <c r="O241" t="s">
        <v>367</v>
      </c>
      <c r="P241" t="s">
        <v>368</v>
      </c>
      <c r="Q241" t="s">
        <v>369</v>
      </c>
      <c r="R241" t="s">
        <v>755</v>
      </c>
      <c r="S241" t="s">
        <v>370</v>
      </c>
      <c r="T241" t="s">
        <v>755</v>
      </c>
      <c r="U241" t="s">
        <v>371</v>
      </c>
      <c r="V241" t="s">
        <v>185</v>
      </c>
      <c r="W241" t="s">
        <v>43</v>
      </c>
      <c r="X241" t="s">
        <v>63</v>
      </c>
      <c r="Y241" t="s">
        <v>372</v>
      </c>
      <c r="Z241" t="s">
        <v>52</v>
      </c>
    </row>
    <row r="242" spans="1:26" x14ac:dyDescent="0.3">
      <c r="A242">
        <v>10352</v>
      </c>
      <c r="B242">
        <v>23</v>
      </c>
      <c r="C242">
        <v>100</v>
      </c>
      <c r="D242">
        <v>3</v>
      </c>
      <c r="E242">
        <v>2352.67</v>
      </c>
      <c r="F242" s="2">
        <v>38324</v>
      </c>
      <c r="G242" s="2" t="str">
        <f t="shared" si="3"/>
        <v>Dec</v>
      </c>
      <c r="H242" t="s">
        <v>26</v>
      </c>
      <c r="I242">
        <v>4</v>
      </c>
      <c r="J242">
        <v>12</v>
      </c>
      <c r="K242">
        <v>2004</v>
      </c>
      <c r="L242" t="s">
        <v>702</v>
      </c>
      <c r="M242">
        <v>90</v>
      </c>
      <c r="N242" t="s">
        <v>751</v>
      </c>
      <c r="O242" t="s">
        <v>704</v>
      </c>
      <c r="P242">
        <v>6175558428</v>
      </c>
      <c r="Q242" t="s">
        <v>705</v>
      </c>
      <c r="R242" t="s">
        <v>755</v>
      </c>
      <c r="S242" t="s">
        <v>315</v>
      </c>
      <c r="T242" t="s">
        <v>133</v>
      </c>
      <c r="U242">
        <v>58339</v>
      </c>
      <c r="V242" t="s">
        <v>33</v>
      </c>
      <c r="W242" t="s">
        <v>34</v>
      </c>
      <c r="X242" t="s">
        <v>605</v>
      </c>
      <c r="Y242" t="s">
        <v>270</v>
      </c>
      <c r="Z242" t="s">
        <v>37</v>
      </c>
    </row>
    <row r="243" spans="1:26" x14ac:dyDescent="0.3">
      <c r="A243">
        <v>10353</v>
      </c>
      <c r="B243">
        <v>27</v>
      </c>
      <c r="C243">
        <v>100</v>
      </c>
      <c r="D243">
        <v>1</v>
      </c>
      <c r="E243">
        <v>3515.67</v>
      </c>
      <c r="F243" s="2">
        <v>38325</v>
      </c>
      <c r="G243" s="2" t="str">
        <f t="shared" si="3"/>
        <v>Dec</v>
      </c>
      <c r="H243" t="s">
        <v>26</v>
      </c>
      <c r="I243">
        <v>4</v>
      </c>
      <c r="J243">
        <v>12</v>
      </c>
      <c r="K243">
        <v>2004</v>
      </c>
      <c r="L243" t="s">
        <v>658</v>
      </c>
      <c r="M243">
        <v>84</v>
      </c>
      <c r="N243" t="s">
        <v>695</v>
      </c>
      <c r="O243" t="s">
        <v>661</v>
      </c>
      <c r="P243">
        <v>2035554407</v>
      </c>
      <c r="Q243" t="s">
        <v>662</v>
      </c>
      <c r="R243" t="s">
        <v>755</v>
      </c>
      <c r="S243" t="s">
        <v>590</v>
      </c>
      <c r="T243" t="s">
        <v>120</v>
      </c>
      <c r="U243">
        <v>97561</v>
      </c>
      <c r="V243" t="s">
        <v>33</v>
      </c>
      <c r="W243" t="s">
        <v>34</v>
      </c>
      <c r="X243" t="s">
        <v>663</v>
      </c>
      <c r="Y243" t="s">
        <v>664</v>
      </c>
      <c r="Z243" t="s">
        <v>52</v>
      </c>
    </row>
    <row r="244" spans="1:26" x14ac:dyDescent="0.3">
      <c r="A244">
        <v>10355</v>
      </c>
      <c r="B244">
        <v>23</v>
      </c>
      <c r="C244">
        <v>100</v>
      </c>
      <c r="D244">
        <v>7</v>
      </c>
      <c r="E244">
        <v>3177.91</v>
      </c>
      <c r="F244" s="2">
        <v>38328</v>
      </c>
      <c r="G244" s="2" t="str">
        <f t="shared" si="3"/>
        <v>Dec</v>
      </c>
      <c r="H244" t="s">
        <v>26</v>
      </c>
      <c r="I244">
        <v>4</v>
      </c>
      <c r="J244">
        <v>12</v>
      </c>
      <c r="K244">
        <v>2004</v>
      </c>
      <c r="L244" t="s">
        <v>198</v>
      </c>
      <c r="M244">
        <v>146</v>
      </c>
      <c r="N244" t="s">
        <v>717</v>
      </c>
      <c r="O244" t="s">
        <v>190</v>
      </c>
      <c r="P244" t="s">
        <v>191</v>
      </c>
      <c r="Q244" t="s">
        <v>192</v>
      </c>
      <c r="R244" t="s">
        <v>755</v>
      </c>
      <c r="S244" t="s">
        <v>193</v>
      </c>
      <c r="T244" t="s">
        <v>755</v>
      </c>
      <c r="U244">
        <v>28034</v>
      </c>
      <c r="V244" t="s">
        <v>194</v>
      </c>
      <c r="W244" t="s">
        <v>43</v>
      </c>
      <c r="X244" t="s">
        <v>195</v>
      </c>
      <c r="Y244" t="s">
        <v>196</v>
      </c>
      <c r="Z244" t="s">
        <v>52</v>
      </c>
    </row>
    <row r="245" spans="1:26" x14ac:dyDescent="0.3">
      <c r="A245">
        <v>10356</v>
      </c>
      <c r="B245">
        <v>43</v>
      </c>
      <c r="C245">
        <v>97.6</v>
      </c>
      <c r="D245">
        <v>8</v>
      </c>
      <c r="E245">
        <v>4196.8</v>
      </c>
      <c r="F245" s="2">
        <v>38330</v>
      </c>
      <c r="G245" s="2" t="str">
        <f t="shared" si="3"/>
        <v>Dec</v>
      </c>
      <c r="H245" t="s">
        <v>26</v>
      </c>
      <c r="I245">
        <v>4</v>
      </c>
      <c r="J245">
        <v>12</v>
      </c>
      <c r="K245">
        <v>2004</v>
      </c>
      <c r="L245" t="s">
        <v>198</v>
      </c>
      <c r="M245">
        <v>141</v>
      </c>
      <c r="N245" t="s">
        <v>614</v>
      </c>
      <c r="O245" t="s">
        <v>46</v>
      </c>
      <c r="P245" t="s">
        <v>47</v>
      </c>
      <c r="Q245" t="s">
        <v>48</v>
      </c>
      <c r="R245" t="s">
        <v>755</v>
      </c>
      <c r="S245" t="s">
        <v>49</v>
      </c>
      <c r="T245" t="s">
        <v>755</v>
      </c>
      <c r="U245">
        <v>75508</v>
      </c>
      <c r="V245" t="s">
        <v>42</v>
      </c>
      <c r="W245" t="s">
        <v>43</v>
      </c>
      <c r="X245" t="s">
        <v>50</v>
      </c>
      <c r="Y245" t="s">
        <v>51</v>
      </c>
      <c r="Z245" t="s">
        <v>52</v>
      </c>
    </row>
    <row r="246" spans="1:26" x14ac:dyDescent="0.3">
      <c r="A246">
        <v>10357</v>
      </c>
      <c r="B246">
        <v>32</v>
      </c>
      <c r="C246">
        <v>100</v>
      </c>
      <c r="D246">
        <v>10</v>
      </c>
      <c r="E246">
        <v>5691.84</v>
      </c>
      <c r="F246" s="2">
        <v>38331</v>
      </c>
      <c r="G246" s="2" t="str">
        <f t="shared" si="3"/>
        <v>Dec</v>
      </c>
      <c r="H246" t="s">
        <v>26</v>
      </c>
      <c r="I246">
        <v>4</v>
      </c>
      <c r="J246">
        <v>12</v>
      </c>
      <c r="K246">
        <v>2004</v>
      </c>
      <c r="L246" t="s">
        <v>198</v>
      </c>
      <c r="M246">
        <v>214</v>
      </c>
      <c r="N246" t="s">
        <v>199</v>
      </c>
      <c r="O246" t="s">
        <v>301</v>
      </c>
      <c r="P246">
        <v>4155551450</v>
      </c>
      <c r="Q246" t="s">
        <v>302</v>
      </c>
      <c r="R246" t="s">
        <v>755</v>
      </c>
      <c r="S246" t="s">
        <v>303</v>
      </c>
      <c r="T246" t="s">
        <v>57</v>
      </c>
      <c r="U246">
        <v>97562</v>
      </c>
      <c r="V246" t="s">
        <v>33</v>
      </c>
      <c r="W246" t="s">
        <v>34</v>
      </c>
      <c r="X246" t="s">
        <v>304</v>
      </c>
      <c r="Y246" t="s">
        <v>305</v>
      </c>
      <c r="Z246" t="s">
        <v>52</v>
      </c>
    </row>
    <row r="247" spans="1:26" x14ac:dyDescent="0.3">
      <c r="A247">
        <v>10358</v>
      </c>
      <c r="B247">
        <v>49</v>
      </c>
      <c r="C247">
        <v>55.34</v>
      </c>
      <c r="D247">
        <v>5</v>
      </c>
      <c r="E247">
        <v>2711.66</v>
      </c>
      <c r="F247" s="2">
        <v>38331</v>
      </c>
      <c r="G247" s="2" t="str">
        <f t="shared" si="3"/>
        <v>Dec</v>
      </c>
      <c r="H247" t="s">
        <v>26</v>
      </c>
      <c r="I247">
        <v>4</v>
      </c>
      <c r="J247">
        <v>12</v>
      </c>
      <c r="K247">
        <v>2004</v>
      </c>
      <c r="L247" t="s">
        <v>198</v>
      </c>
      <c r="M247">
        <v>151</v>
      </c>
      <c r="N247" t="s">
        <v>583</v>
      </c>
      <c r="O247" t="s">
        <v>190</v>
      </c>
      <c r="P247" t="s">
        <v>191</v>
      </c>
      <c r="Q247" t="s">
        <v>192</v>
      </c>
      <c r="R247" t="s">
        <v>755</v>
      </c>
      <c r="S247" t="s">
        <v>193</v>
      </c>
      <c r="T247" t="s">
        <v>755</v>
      </c>
      <c r="U247">
        <v>28034</v>
      </c>
      <c r="V247" t="s">
        <v>194</v>
      </c>
      <c r="W247" t="s">
        <v>43</v>
      </c>
      <c r="X247" t="s">
        <v>195</v>
      </c>
      <c r="Y247" t="s">
        <v>196</v>
      </c>
      <c r="Z247" t="s">
        <v>37</v>
      </c>
    </row>
    <row r="248" spans="1:26" x14ac:dyDescent="0.3">
      <c r="A248">
        <v>10359</v>
      </c>
      <c r="B248">
        <v>48</v>
      </c>
      <c r="C248">
        <v>54.68</v>
      </c>
      <c r="D248">
        <v>6</v>
      </c>
      <c r="E248">
        <v>2624.64</v>
      </c>
      <c r="F248" s="2">
        <v>38336</v>
      </c>
      <c r="G248" s="2" t="str">
        <f t="shared" si="3"/>
        <v>Dec</v>
      </c>
      <c r="H248" t="s">
        <v>26</v>
      </c>
      <c r="I248">
        <v>4</v>
      </c>
      <c r="J248">
        <v>12</v>
      </c>
      <c r="K248">
        <v>2004</v>
      </c>
      <c r="L248" t="s">
        <v>198</v>
      </c>
      <c r="M248">
        <v>136</v>
      </c>
      <c r="N248" t="s">
        <v>358</v>
      </c>
      <c r="O248" t="s">
        <v>38</v>
      </c>
      <c r="P248" t="s">
        <v>39</v>
      </c>
      <c r="Q248" t="s">
        <v>40</v>
      </c>
      <c r="R248" t="s">
        <v>755</v>
      </c>
      <c r="S248" t="s">
        <v>41</v>
      </c>
      <c r="T248" t="s">
        <v>755</v>
      </c>
      <c r="U248">
        <v>51100</v>
      </c>
      <c r="V248" t="s">
        <v>42</v>
      </c>
      <c r="W248" t="s">
        <v>43</v>
      </c>
      <c r="X248" t="s">
        <v>44</v>
      </c>
      <c r="Y248" t="s">
        <v>45</v>
      </c>
      <c r="Z248" t="s">
        <v>37</v>
      </c>
    </row>
    <row r="249" spans="1:26" x14ac:dyDescent="0.3">
      <c r="A249">
        <v>10361</v>
      </c>
      <c r="B249">
        <v>20</v>
      </c>
      <c r="C249">
        <v>72.55</v>
      </c>
      <c r="D249">
        <v>13</v>
      </c>
      <c r="E249">
        <v>1451</v>
      </c>
      <c r="F249" s="2">
        <v>38338</v>
      </c>
      <c r="G249" s="2" t="str">
        <f t="shared" si="3"/>
        <v>Dec</v>
      </c>
      <c r="H249" t="s">
        <v>26</v>
      </c>
      <c r="I249">
        <v>4</v>
      </c>
      <c r="J249">
        <v>12</v>
      </c>
      <c r="K249">
        <v>2004</v>
      </c>
      <c r="L249" t="s">
        <v>27</v>
      </c>
      <c r="M249">
        <v>95</v>
      </c>
      <c r="N249" t="s">
        <v>28</v>
      </c>
      <c r="O249" t="s">
        <v>167</v>
      </c>
      <c r="P249" t="s">
        <v>168</v>
      </c>
      <c r="Q249" t="s">
        <v>169</v>
      </c>
      <c r="R249" t="s">
        <v>170</v>
      </c>
      <c r="S249" t="s">
        <v>171</v>
      </c>
      <c r="T249" t="s">
        <v>172</v>
      </c>
      <c r="U249">
        <v>2067</v>
      </c>
      <c r="V249" t="s">
        <v>101</v>
      </c>
      <c r="W249" t="s">
        <v>102</v>
      </c>
      <c r="X249" t="s">
        <v>173</v>
      </c>
      <c r="Y249" t="s">
        <v>174</v>
      </c>
      <c r="Z249" t="s">
        <v>37</v>
      </c>
    </row>
    <row r="250" spans="1:26" x14ac:dyDescent="0.3">
      <c r="A250">
        <v>10362</v>
      </c>
      <c r="B250">
        <v>22</v>
      </c>
      <c r="C250">
        <v>100</v>
      </c>
      <c r="D250">
        <v>4</v>
      </c>
      <c r="E250">
        <v>3664.1</v>
      </c>
      <c r="F250" s="2">
        <v>38357</v>
      </c>
      <c r="G250" s="2" t="str">
        <f t="shared" si="3"/>
        <v>Jan</v>
      </c>
      <c r="H250" t="s">
        <v>26</v>
      </c>
      <c r="I250">
        <v>1</v>
      </c>
      <c r="J250">
        <v>1</v>
      </c>
      <c r="K250">
        <v>2005</v>
      </c>
      <c r="L250" t="s">
        <v>27</v>
      </c>
      <c r="M250">
        <v>193</v>
      </c>
      <c r="N250" t="s">
        <v>357</v>
      </c>
      <c r="O250" t="s">
        <v>65</v>
      </c>
      <c r="P250">
        <v>6505556809</v>
      </c>
      <c r="Q250" t="s">
        <v>66</v>
      </c>
      <c r="R250" t="s">
        <v>755</v>
      </c>
      <c r="S250" t="s">
        <v>67</v>
      </c>
      <c r="T250" t="s">
        <v>57</v>
      </c>
      <c r="U250">
        <v>94217</v>
      </c>
      <c r="V250" t="s">
        <v>33</v>
      </c>
      <c r="W250" t="s">
        <v>34</v>
      </c>
      <c r="X250" t="s">
        <v>68</v>
      </c>
      <c r="Y250" t="s">
        <v>69</v>
      </c>
      <c r="Z250" t="s">
        <v>52</v>
      </c>
    </row>
    <row r="251" spans="1:26" x14ac:dyDescent="0.3">
      <c r="A251">
        <v>10363</v>
      </c>
      <c r="B251">
        <v>33</v>
      </c>
      <c r="C251">
        <v>85.39</v>
      </c>
      <c r="D251">
        <v>3</v>
      </c>
      <c r="E251">
        <v>2817.87</v>
      </c>
      <c r="F251" s="2">
        <v>38358</v>
      </c>
      <c r="G251" s="2" t="str">
        <f t="shared" si="3"/>
        <v>Jan</v>
      </c>
      <c r="H251" t="s">
        <v>26</v>
      </c>
      <c r="I251">
        <v>1</v>
      </c>
      <c r="J251">
        <v>1</v>
      </c>
      <c r="K251">
        <v>2005</v>
      </c>
      <c r="L251" t="s">
        <v>198</v>
      </c>
      <c r="M251">
        <v>194</v>
      </c>
      <c r="N251" t="s">
        <v>480</v>
      </c>
      <c r="O251" t="s">
        <v>527</v>
      </c>
      <c r="P251" t="s">
        <v>528</v>
      </c>
      <c r="Q251" t="s">
        <v>529</v>
      </c>
      <c r="R251" t="s">
        <v>755</v>
      </c>
      <c r="S251" t="s">
        <v>530</v>
      </c>
      <c r="T251" t="s">
        <v>755</v>
      </c>
      <c r="U251" t="s">
        <v>531</v>
      </c>
      <c r="V251" t="s">
        <v>141</v>
      </c>
      <c r="W251" t="s">
        <v>43</v>
      </c>
      <c r="X251" t="s">
        <v>532</v>
      </c>
      <c r="Y251" t="s">
        <v>533</v>
      </c>
      <c r="Z251" t="s">
        <v>37</v>
      </c>
    </row>
    <row r="252" spans="1:26" x14ac:dyDescent="0.3">
      <c r="A252">
        <v>10364</v>
      </c>
      <c r="B252">
        <v>48</v>
      </c>
      <c r="C252">
        <v>48.28</v>
      </c>
      <c r="D252">
        <v>1</v>
      </c>
      <c r="E252">
        <v>2317.44</v>
      </c>
      <c r="F252" s="2">
        <v>38358</v>
      </c>
      <c r="G252" s="2" t="str">
        <f t="shared" si="3"/>
        <v>Jan</v>
      </c>
      <c r="H252" t="s">
        <v>26</v>
      </c>
      <c r="I252">
        <v>1</v>
      </c>
      <c r="J252">
        <v>1</v>
      </c>
      <c r="K252">
        <v>2005</v>
      </c>
      <c r="L252" t="s">
        <v>27</v>
      </c>
      <c r="M252">
        <v>40</v>
      </c>
      <c r="N252" t="s">
        <v>744</v>
      </c>
      <c r="O252" t="s">
        <v>489</v>
      </c>
      <c r="P252" t="s">
        <v>490</v>
      </c>
      <c r="Q252" t="s">
        <v>491</v>
      </c>
      <c r="R252" t="s">
        <v>755</v>
      </c>
      <c r="S252" t="s">
        <v>492</v>
      </c>
      <c r="T252" t="s">
        <v>755</v>
      </c>
      <c r="U252">
        <v>13008</v>
      </c>
      <c r="V252" t="s">
        <v>42</v>
      </c>
      <c r="W252" t="s">
        <v>43</v>
      </c>
      <c r="X252" t="s">
        <v>493</v>
      </c>
      <c r="Y252" t="s">
        <v>494</v>
      </c>
      <c r="Z252" t="s">
        <v>37</v>
      </c>
    </row>
    <row r="253" spans="1:26" x14ac:dyDescent="0.3">
      <c r="A253">
        <v>10365</v>
      </c>
      <c r="B253">
        <v>30</v>
      </c>
      <c r="C253">
        <v>87.06</v>
      </c>
      <c r="D253">
        <v>1</v>
      </c>
      <c r="E253">
        <v>2611.8000000000002</v>
      </c>
      <c r="F253" s="2">
        <v>38359</v>
      </c>
      <c r="G253" s="2" t="str">
        <f t="shared" si="3"/>
        <v>Jan</v>
      </c>
      <c r="H253" t="s">
        <v>26</v>
      </c>
      <c r="I253">
        <v>1</v>
      </c>
      <c r="J253">
        <v>1</v>
      </c>
      <c r="K253">
        <v>2005</v>
      </c>
      <c r="L253" t="s">
        <v>198</v>
      </c>
      <c r="M253">
        <v>141</v>
      </c>
      <c r="N253" t="s">
        <v>614</v>
      </c>
      <c r="O253" t="s">
        <v>373</v>
      </c>
      <c r="P253">
        <v>5085559555</v>
      </c>
      <c r="Q253" t="s">
        <v>374</v>
      </c>
      <c r="R253" t="s">
        <v>755</v>
      </c>
      <c r="S253" t="s">
        <v>177</v>
      </c>
      <c r="T253" t="s">
        <v>133</v>
      </c>
      <c r="U253">
        <v>50553</v>
      </c>
      <c r="V253" t="s">
        <v>33</v>
      </c>
      <c r="W253" t="s">
        <v>34</v>
      </c>
      <c r="X253" t="s">
        <v>375</v>
      </c>
      <c r="Y253" t="s">
        <v>376</v>
      </c>
      <c r="Z253" t="s">
        <v>37</v>
      </c>
    </row>
    <row r="254" spans="1:26" x14ac:dyDescent="0.3">
      <c r="A254">
        <v>10366</v>
      </c>
      <c r="B254">
        <v>34</v>
      </c>
      <c r="C254">
        <v>100</v>
      </c>
      <c r="D254">
        <v>3</v>
      </c>
      <c r="E254">
        <v>4207.84</v>
      </c>
      <c r="F254" s="2">
        <v>38362</v>
      </c>
      <c r="G254" s="2" t="str">
        <f t="shared" si="3"/>
        <v>Jan</v>
      </c>
      <c r="H254" t="s">
        <v>26</v>
      </c>
      <c r="I254">
        <v>1</v>
      </c>
      <c r="J254">
        <v>1</v>
      </c>
      <c r="K254">
        <v>2005</v>
      </c>
      <c r="L254" t="s">
        <v>198</v>
      </c>
      <c r="M254">
        <v>142</v>
      </c>
      <c r="N254" t="s">
        <v>687</v>
      </c>
      <c r="O254" t="s">
        <v>675</v>
      </c>
      <c r="P254" t="s">
        <v>676</v>
      </c>
      <c r="Q254" t="s">
        <v>677</v>
      </c>
      <c r="R254" t="s">
        <v>755</v>
      </c>
      <c r="S254" t="s">
        <v>678</v>
      </c>
      <c r="T254" t="s">
        <v>755</v>
      </c>
      <c r="U254" t="s">
        <v>679</v>
      </c>
      <c r="V254" t="s">
        <v>414</v>
      </c>
      <c r="W254" t="s">
        <v>43</v>
      </c>
      <c r="X254" t="s">
        <v>680</v>
      </c>
      <c r="Y254" t="s">
        <v>681</v>
      </c>
      <c r="Z254" t="s">
        <v>52</v>
      </c>
    </row>
    <row r="255" spans="1:26" x14ac:dyDescent="0.3">
      <c r="A255">
        <v>10367</v>
      </c>
      <c r="B255">
        <v>49</v>
      </c>
      <c r="C255">
        <v>56.3</v>
      </c>
      <c r="D255">
        <v>1</v>
      </c>
      <c r="E255">
        <v>2758.7</v>
      </c>
      <c r="F255" s="2">
        <v>38364</v>
      </c>
      <c r="G255" s="2" t="str">
        <f t="shared" si="3"/>
        <v>Jan</v>
      </c>
      <c r="H255" t="s">
        <v>460</v>
      </c>
      <c r="I255">
        <v>1</v>
      </c>
      <c r="J255">
        <v>1</v>
      </c>
      <c r="K255">
        <v>2005</v>
      </c>
      <c r="L255" t="s">
        <v>198</v>
      </c>
      <c r="M255">
        <v>124</v>
      </c>
      <c r="N255" t="s">
        <v>653</v>
      </c>
      <c r="O255" t="s">
        <v>54</v>
      </c>
      <c r="P255">
        <v>6265557265</v>
      </c>
      <c r="Q255" t="s">
        <v>55</v>
      </c>
      <c r="R255" t="s">
        <v>755</v>
      </c>
      <c r="S255" t="s">
        <v>56</v>
      </c>
      <c r="T255" t="s">
        <v>57</v>
      </c>
      <c r="U255">
        <v>90003</v>
      </c>
      <c r="V255" t="s">
        <v>33</v>
      </c>
      <c r="W255" t="s">
        <v>34</v>
      </c>
      <c r="X255" t="s">
        <v>58</v>
      </c>
      <c r="Y255" t="s">
        <v>59</v>
      </c>
      <c r="Z255" t="s">
        <v>37</v>
      </c>
    </row>
    <row r="256" spans="1:26" x14ac:dyDescent="0.3">
      <c r="A256">
        <v>10368</v>
      </c>
      <c r="B256">
        <v>40</v>
      </c>
      <c r="C256">
        <v>100</v>
      </c>
      <c r="D256">
        <v>2</v>
      </c>
      <c r="E256">
        <v>4107.2</v>
      </c>
      <c r="F256" s="2">
        <v>38371</v>
      </c>
      <c r="G256" s="2" t="str">
        <f t="shared" si="3"/>
        <v>Jan</v>
      </c>
      <c r="H256" t="s">
        <v>26</v>
      </c>
      <c r="I256">
        <v>1</v>
      </c>
      <c r="J256">
        <v>1</v>
      </c>
      <c r="K256">
        <v>2005</v>
      </c>
      <c r="L256" t="s">
        <v>198</v>
      </c>
      <c r="M256">
        <v>90</v>
      </c>
      <c r="N256" t="s">
        <v>734</v>
      </c>
      <c r="O256" t="s">
        <v>301</v>
      </c>
      <c r="P256">
        <v>4155551450</v>
      </c>
      <c r="Q256" t="s">
        <v>302</v>
      </c>
      <c r="R256" t="s">
        <v>755</v>
      </c>
      <c r="S256" t="s">
        <v>303</v>
      </c>
      <c r="T256" t="s">
        <v>57</v>
      </c>
      <c r="U256">
        <v>97562</v>
      </c>
      <c r="V256" t="s">
        <v>33</v>
      </c>
      <c r="W256" t="s">
        <v>34</v>
      </c>
      <c r="X256" t="s">
        <v>304</v>
      </c>
      <c r="Y256" t="s">
        <v>305</v>
      </c>
      <c r="Z256" t="s">
        <v>52</v>
      </c>
    </row>
    <row r="257" spans="1:26" x14ac:dyDescent="0.3">
      <c r="A257">
        <v>10369</v>
      </c>
      <c r="B257">
        <v>41</v>
      </c>
      <c r="C257">
        <v>100</v>
      </c>
      <c r="D257">
        <v>2</v>
      </c>
      <c r="E257">
        <v>4514.92</v>
      </c>
      <c r="F257" s="2">
        <v>38372</v>
      </c>
      <c r="G257" s="2" t="str">
        <f t="shared" si="3"/>
        <v>Jan</v>
      </c>
      <c r="H257" t="s">
        <v>26</v>
      </c>
      <c r="I257">
        <v>1</v>
      </c>
      <c r="J257">
        <v>1</v>
      </c>
      <c r="K257">
        <v>2005</v>
      </c>
      <c r="L257" t="s">
        <v>198</v>
      </c>
      <c r="M257">
        <v>214</v>
      </c>
      <c r="N257" t="s">
        <v>199</v>
      </c>
      <c r="O257" t="s">
        <v>313</v>
      </c>
      <c r="P257">
        <v>6175558555</v>
      </c>
      <c r="Q257" t="s">
        <v>314</v>
      </c>
      <c r="R257" t="s">
        <v>755</v>
      </c>
      <c r="S257" t="s">
        <v>315</v>
      </c>
      <c r="T257" t="s">
        <v>133</v>
      </c>
      <c r="U257">
        <v>58339</v>
      </c>
      <c r="V257" t="s">
        <v>33</v>
      </c>
      <c r="W257" t="s">
        <v>34</v>
      </c>
      <c r="X257" t="s">
        <v>304</v>
      </c>
      <c r="Y257" t="s">
        <v>316</v>
      </c>
      <c r="Z257" t="s">
        <v>52</v>
      </c>
    </row>
    <row r="258" spans="1:26" x14ac:dyDescent="0.3">
      <c r="A258">
        <v>10370</v>
      </c>
      <c r="B258">
        <v>35</v>
      </c>
      <c r="C258">
        <v>65.63</v>
      </c>
      <c r="D258">
        <v>4</v>
      </c>
      <c r="E258">
        <v>2297.0500000000002</v>
      </c>
      <c r="F258" s="2">
        <v>38372</v>
      </c>
      <c r="G258" s="2" t="str">
        <f t="shared" ref="G258:G308" si="4">TEXT(F258,"MMM")</f>
        <v>Jan</v>
      </c>
      <c r="H258" t="s">
        <v>26</v>
      </c>
      <c r="I258">
        <v>1</v>
      </c>
      <c r="J258">
        <v>1</v>
      </c>
      <c r="K258">
        <v>2005</v>
      </c>
      <c r="L258" t="s">
        <v>198</v>
      </c>
      <c r="M258">
        <v>147</v>
      </c>
      <c r="N258" t="s">
        <v>453</v>
      </c>
      <c r="O258" t="s">
        <v>318</v>
      </c>
      <c r="P258" t="s">
        <v>319</v>
      </c>
      <c r="Q258" t="s">
        <v>320</v>
      </c>
      <c r="R258" t="s">
        <v>321</v>
      </c>
      <c r="S258" t="s">
        <v>322</v>
      </c>
      <c r="T258" t="s">
        <v>172</v>
      </c>
      <c r="U258">
        <v>2060</v>
      </c>
      <c r="V258" t="s">
        <v>101</v>
      </c>
      <c r="W258" t="s">
        <v>102</v>
      </c>
      <c r="X258" t="s">
        <v>323</v>
      </c>
      <c r="Y258" t="s">
        <v>324</v>
      </c>
      <c r="Z258" t="s">
        <v>37</v>
      </c>
    </row>
    <row r="259" spans="1:26" x14ac:dyDescent="0.3">
      <c r="A259">
        <v>10371</v>
      </c>
      <c r="B259">
        <v>32</v>
      </c>
      <c r="C259">
        <v>100</v>
      </c>
      <c r="D259">
        <v>6</v>
      </c>
      <c r="E259">
        <v>3560.64</v>
      </c>
      <c r="F259" s="2">
        <v>38375</v>
      </c>
      <c r="G259" s="2" t="str">
        <f t="shared" si="4"/>
        <v>Jan</v>
      </c>
      <c r="H259" t="s">
        <v>26</v>
      </c>
      <c r="I259">
        <v>1</v>
      </c>
      <c r="J259">
        <v>1</v>
      </c>
      <c r="K259">
        <v>2005</v>
      </c>
      <c r="L259" t="s">
        <v>198</v>
      </c>
      <c r="M259">
        <v>207</v>
      </c>
      <c r="N259" t="s">
        <v>536</v>
      </c>
      <c r="O259" t="s">
        <v>301</v>
      </c>
      <c r="P259">
        <v>4155551450</v>
      </c>
      <c r="Q259" t="s">
        <v>302</v>
      </c>
      <c r="R259" t="s">
        <v>755</v>
      </c>
      <c r="S259" t="s">
        <v>303</v>
      </c>
      <c r="T259" t="s">
        <v>57</v>
      </c>
      <c r="U259">
        <v>97562</v>
      </c>
      <c r="V259" t="s">
        <v>33</v>
      </c>
      <c r="W259" t="s">
        <v>34</v>
      </c>
      <c r="X259" t="s">
        <v>304</v>
      </c>
      <c r="Y259" t="s">
        <v>305</v>
      </c>
      <c r="Z259" t="s">
        <v>52</v>
      </c>
    </row>
    <row r="260" spans="1:26" x14ac:dyDescent="0.3">
      <c r="A260">
        <v>10372</v>
      </c>
      <c r="B260">
        <v>40</v>
      </c>
      <c r="C260">
        <v>100</v>
      </c>
      <c r="D260">
        <v>4</v>
      </c>
      <c r="E260">
        <v>5862</v>
      </c>
      <c r="F260" s="2">
        <v>38378</v>
      </c>
      <c r="G260" s="2" t="str">
        <f t="shared" si="4"/>
        <v>Jan</v>
      </c>
      <c r="H260" t="s">
        <v>26</v>
      </c>
      <c r="I260">
        <v>1</v>
      </c>
      <c r="J260">
        <v>1</v>
      </c>
      <c r="K260">
        <v>2005</v>
      </c>
      <c r="L260" t="s">
        <v>198</v>
      </c>
      <c r="M260">
        <v>151</v>
      </c>
      <c r="N260" t="s">
        <v>583</v>
      </c>
      <c r="O260" t="s">
        <v>272</v>
      </c>
      <c r="P260" t="s">
        <v>273</v>
      </c>
      <c r="Q260" t="s">
        <v>274</v>
      </c>
      <c r="R260" t="s">
        <v>755</v>
      </c>
      <c r="S260" t="s">
        <v>275</v>
      </c>
      <c r="T260" t="s">
        <v>276</v>
      </c>
      <c r="U260" t="s">
        <v>277</v>
      </c>
      <c r="V260" t="s">
        <v>221</v>
      </c>
      <c r="W260" t="s">
        <v>221</v>
      </c>
      <c r="X260" t="s">
        <v>278</v>
      </c>
      <c r="Y260" t="s">
        <v>279</v>
      </c>
      <c r="Z260" t="s">
        <v>52</v>
      </c>
    </row>
    <row r="261" spans="1:26" x14ac:dyDescent="0.3">
      <c r="A261">
        <v>10373</v>
      </c>
      <c r="B261">
        <v>39</v>
      </c>
      <c r="C261">
        <v>100</v>
      </c>
      <c r="D261">
        <v>3</v>
      </c>
      <c r="E261">
        <v>4046.25</v>
      </c>
      <c r="F261" s="2">
        <v>38383</v>
      </c>
      <c r="G261" s="2" t="str">
        <f t="shared" si="4"/>
        <v>Jan</v>
      </c>
      <c r="H261" t="s">
        <v>26</v>
      </c>
      <c r="I261">
        <v>1</v>
      </c>
      <c r="J261">
        <v>1</v>
      </c>
      <c r="K261">
        <v>2005</v>
      </c>
      <c r="L261" t="s">
        <v>198</v>
      </c>
      <c r="M261">
        <v>136</v>
      </c>
      <c r="N261" t="s">
        <v>358</v>
      </c>
      <c r="O261" t="s">
        <v>440</v>
      </c>
      <c r="P261" t="s">
        <v>441</v>
      </c>
      <c r="Q261" t="s">
        <v>442</v>
      </c>
      <c r="R261" t="s">
        <v>755</v>
      </c>
      <c r="S261" t="s">
        <v>443</v>
      </c>
      <c r="T261" t="s">
        <v>755</v>
      </c>
      <c r="U261">
        <v>90110</v>
      </c>
      <c r="V261" t="s">
        <v>141</v>
      </c>
      <c r="W261" t="s">
        <v>43</v>
      </c>
      <c r="X261" t="s">
        <v>444</v>
      </c>
      <c r="Y261" t="s">
        <v>445</v>
      </c>
      <c r="Z261" t="s">
        <v>52</v>
      </c>
    </row>
    <row r="262" spans="1:26" x14ac:dyDescent="0.3">
      <c r="A262">
        <v>10374</v>
      </c>
      <c r="B262">
        <v>39</v>
      </c>
      <c r="C262">
        <v>100</v>
      </c>
      <c r="D262">
        <v>5</v>
      </c>
      <c r="E262">
        <v>5288.01</v>
      </c>
      <c r="F262" s="2">
        <v>38385</v>
      </c>
      <c r="G262" s="2" t="str">
        <f t="shared" si="4"/>
        <v>Feb</v>
      </c>
      <c r="H262" t="s">
        <v>26</v>
      </c>
      <c r="I262">
        <v>1</v>
      </c>
      <c r="J262">
        <v>2</v>
      </c>
      <c r="K262">
        <v>2005</v>
      </c>
      <c r="L262" t="s">
        <v>27</v>
      </c>
      <c r="M262">
        <v>118</v>
      </c>
      <c r="N262" t="s">
        <v>336</v>
      </c>
      <c r="O262" t="s">
        <v>229</v>
      </c>
      <c r="P262" t="s">
        <v>230</v>
      </c>
      <c r="Q262" t="s">
        <v>231</v>
      </c>
      <c r="R262" t="s">
        <v>755</v>
      </c>
      <c r="S262" t="s">
        <v>232</v>
      </c>
      <c r="T262" t="s">
        <v>233</v>
      </c>
      <c r="U262">
        <v>4101</v>
      </c>
      <c r="V262" t="s">
        <v>101</v>
      </c>
      <c r="W262" t="s">
        <v>102</v>
      </c>
      <c r="X262" t="s">
        <v>234</v>
      </c>
      <c r="Y262" t="s">
        <v>235</v>
      </c>
      <c r="Z262" t="s">
        <v>52</v>
      </c>
    </row>
    <row r="263" spans="1:26" x14ac:dyDescent="0.3">
      <c r="A263">
        <v>10375</v>
      </c>
      <c r="B263">
        <v>21</v>
      </c>
      <c r="C263">
        <v>34.909999999999997</v>
      </c>
      <c r="D263">
        <v>12</v>
      </c>
      <c r="E263">
        <v>733.11</v>
      </c>
      <c r="F263" s="2">
        <v>38386</v>
      </c>
      <c r="G263" s="2" t="str">
        <f t="shared" si="4"/>
        <v>Feb</v>
      </c>
      <c r="H263" t="s">
        <v>26</v>
      </c>
      <c r="I263">
        <v>1</v>
      </c>
      <c r="J263">
        <v>2</v>
      </c>
      <c r="K263">
        <v>2005</v>
      </c>
      <c r="L263" t="s">
        <v>27</v>
      </c>
      <c r="M263">
        <v>95</v>
      </c>
      <c r="N263" t="s">
        <v>28</v>
      </c>
      <c r="O263" t="s">
        <v>123</v>
      </c>
      <c r="P263" t="s">
        <v>124</v>
      </c>
      <c r="Q263" t="s">
        <v>125</v>
      </c>
      <c r="R263" t="s">
        <v>755</v>
      </c>
      <c r="S263" t="s">
        <v>126</v>
      </c>
      <c r="T263" t="s">
        <v>755</v>
      </c>
      <c r="U263">
        <v>44000</v>
      </c>
      <c r="V263" t="s">
        <v>42</v>
      </c>
      <c r="W263" t="s">
        <v>43</v>
      </c>
      <c r="X263" t="s">
        <v>127</v>
      </c>
      <c r="Y263" t="s">
        <v>128</v>
      </c>
      <c r="Z263" t="s">
        <v>37</v>
      </c>
    </row>
    <row r="264" spans="1:26" x14ac:dyDescent="0.3">
      <c r="A264">
        <v>10376</v>
      </c>
      <c r="B264">
        <v>35</v>
      </c>
      <c r="C264">
        <v>100</v>
      </c>
      <c r="D264">
        <v>1</v>
      </c>
      <c r="E264">
        <v>3987.2</v>
      </c>
      <c r="F264" s="2">
        <v>38391</v>
      </c>
      <c r="G264" s="2" t="str">
        <f t="shared" si="4"/>
        <v>Feb</v>
      </c>
      <c r="H264" t="s">
        <v>26</v>
      </c>
      <c r="I264">
        <v>1</v>
      </c>
      <c r="J264">
        <v>2</v>
      </c>
      <c r="K264">
        <v>2005</v>
      </c>
      <c r="L264" t="s">
        <v>198</v>
      </c>
      <c r="M264">
        <v>117</v>
      </c>
      <c r="N264" t="s">
        <v>586</v>
      </c>
      <c r="O264" t="s">
        <v>588</v>
      </c>
      <c r="P264">
        <v>3105552373</v>
      </c>
      <c r="Q264" t="s">
        <v>589</v>
      </c>
      <c r="R264" t="s">
        <v>755</v>
      </c>
      <c r="S264" t="s">
        <v>590</v>
      </c>
      <c r="T264" t="s">
        <v>57</v>
      </c>
      <c r="U264">
        <v>92561</v>
      </c>
      <c r="V264" t="s">
        <v>33</v>
      </c>
      <c r="W264" t="s">
        <v>34</v>
      </c>
      <c r="X264" t="s">
        <v>58</v>
      </c>
      <c r="Y264" t="s">
        <v>270</v>
      </c>
      <c r="Z264" t="s">
        <v>52</v>
      </c>
    </row>
    <row r="265" spans="1:26" x14ac:dyDescent="0.3">
      <c r="A265">
        <v>10377</v>
      </c>
      <c r="B265">
        <v>24</v>
      </c>
      <c r="C265">
        <v>67.83</v>
      </c>
      <c r="D265">
        <v>5</v>
      </c>
      <c r="E265">
        <v>1627.92</v>
      </c>
      <c r="F265" s="2">
        <v>38392</v>
      </c>
      <c r="G265" s="2" t="str">
        <f t="shared" si="4"/>
        <v>Feb</v>
      </c>
      <c r="H265" t="s">
        <v>26</v>
      </c>
      <c r="I265">
        <v>1</v>
      </c>
      <c r="J265">
        <v>2</v>
      </c>
      <c r="K265">
        <v>2005</v>
      </c>
      <c r="L265" t="s">
        <v>198</v>
      </c>
      <c r="M265">
        <v>79</v>
      </c>
      <c r="N265" t="s">
        <v>593</v>
      </c>
      <c r="O265" t="s">
        <v>137</v>
      </c>
      <c r="P265" t="s">
        <v>138</v>
      </c>
      <c r="Q265" t="s">
        <v>139</v>
      </c>
      <c r="R265" t="s">
        <v>755</v>
      </c>
      <c r="S265" t="s">
        <v>140</v>
      </c>
      <c r="T265" t="s">
        <v>755</v>
      </c>
      <c r="U265">
        <v>21240</v>
      </c>
      <c r="V265" t="s">
        <v>141</v>
      </c>
      <c r="W265" t="s">
        <v>43</v>
      </c>
      <c r="X265" t="s">
        <v>142</v>
      </c>
      <c r="Y265" t="s">
        <v>143</v>
      </c>
      <c r="Z265" t="s">
        <v>37</v>
      </c>
    </row>
    <row r="266" spans="1:26" x14ac:dyDescent="0.3">
      <c r="A266">
        <v>10378</v>
      </c>
      <c r="B266">
        <v>34</v>
      </c>
      <c r="C266">
        <v>42.64</v>
      </c>
      <c r="D266">
        <v>5</v>
      </c>
      <c r="E266">
        <v>1449.76</v>
      </c>
      <c r="F266" s="2">
        <v>38393</v>
      </c>
      <c r="G266" s="2" t="str">
        <f t="shared" si="4"/>
        <v>Feb</v>
      </c>
      <c r="H266" t="s">
        <v>26</v>
      </c>
      <c r="I266">
        <v>1</v>
      </c>
      <c r="J266">
        <v>2</v>
      </c>
      <c r="K266">
        <v>2005</v>
      </c>
      <c r="L266" t="s">
        <v>198</v>
      </c>
      <c r="M266">
        <v>124</v>
      </c>
      <c r="N266" t="s">
        <v>653</v>
      </c>
      <c r="O266" t="s">
        <v>190</v>
      </c>
      <c r="P266" t="s">
        <v>191</v>
      </c>
      <c r="Q266" t="s">
        <v>192</v>
      </c>
      <c r="R266" t="s">
        <v>755</v>
      </c>
      <c r="S266" t="s">
        <v>193</v>
      </c>
      <c r="T266" t="s">
        <v>755</v>
      </c>
      <c r="U266">
        <v>28034</v>
      </c>
      <c r="V266" t="s">
        <v>194</v>
      </c>
      <c r="W266" t="s">
        <v>43</v>
      </c>
      <c r="X266" t="s">
        <v>195</v>
      </c>
      <c r="Y266" t="s">
        <v>196</v>
      </c>
      <c r="Z266" t="s">
        <v>37</v>
      </c>
    </row>
    <row r="267" spans="1:26" x14ac:dyDescent="0.3">
      <c r="A267">
        <v>10379</v>
      </c>
      <c r="B267">
        <v>39</v>
      </c>
      <c r="C267">
        <v>100</v>
      </c>
      <c r="D267">
        <v>2</v>
      </c>
      <c r="E267">
        <v>5399.55</v>
      </c>
      <c r="F267" s="2">
        <v>38393</v>
      </c>
      <c r="G267" s="2" t="str">
        <f t="shared" si="4"/>
        <v>Feb</v>
      </c>
      <c r="H267" t="s">
        <v>26</v>
      </c>
      <c r="I267">
        <v>1</v>
      </c>
      <c r="J267">
        <v>2</v>
      </c>
      <c r="K267">
        <v>2005</v>
      </c>
      <c r="L267" t="s">
        <v>630</v>
      </c>
      <c r="M267">
        <v>170</v>
      </c>
      <c r="N267" t="s">
        <v>683</v>
      </c>
      <c r="O267" t="s">
        <v>190</v>
      </c>
      <c r="P267" t="s">
        <v>191</v>
      </c>
      <c r="Q267" t="s">
        <v>192</v>
      </c>
      <c r="R267" t="s">
        <v>755</v>
      </c>
      <c r="S267" t="s">
        <v>193</v>
      </c>
      <c r="T267" t="s">
        <v>755</v>
      </c>
      <c r="U267">
        <v>28034</v>
      </c>
      <c r="V267" t="s">
        <v>194</v>
      </c>
      <c r="W267" t="s">
        <v>43</v>
      </c>
      <c r="X267" t="s">
        <v>195</v>
      </c>
      <c r="Y267" t="s">
        <v>196</v>
      </c>
      <c r="Z267" t="s">
        <v>52</v>
      </c>
    </row>
    <row r="268" spans="1:26" x14ac:dyDescent="0.3">
      <c r="A268">
        <v>10380</v>
      </c>
      <c r="B268">
        <v>27</v>
      </c>
      <c r="C268">
        <v>93.16</v>
      </c>
      <c r="D268">
        <v>13</v>
      </c>
      <c r="E268">
        <v>2515.3200000000002</v>
      </c>
      <c r="F268" s="2">
        <v>38399</v>
      </c>
      <c r="G268" s="2" t="str">
        <f t="shared" si="4"/>
        <v>Feb</v>
      </c>
      <c r="H268" t="s">
        <v>26</v>
      </c>
      <c r="I268">
        <v>1</v>
      </c>
      <c r="J268">
        <v>2</v>
      </c>
      <c r="K268">
        <v>2005</v>
      </c>
      <c r="L268" t="s">
        <v>630</v>
      </c>
      <c r="M268">
        <v>102</v>
      </c>
      <c r="N268" t="s">
        <v>631</v>
      </c>
      <c r="O268" t="s">
        <v>190</v>
      </c>
      <c r="P268" t="s">
        <v>191</v>
      </c>
      <c r="Q268" t="s">
        <v>192</v>
      </c>
      <c r="R268" t="s">
        <v>755</v>
      </c>
      <c r="S268" t="s">
        <v>193</v>
      </c>
      <c r="T268" t="s">
        <v>755</v>
      </c>
      <c r="U268">
        <v>28034</v>
      </c>
      <c r="V268" t="s">
        <v>194</v>
      </c>
      <c r="W268" t="s">
        <v>43</v>
      </c>
      <c r="X268" t="s">
        <v>195</v>
      </c>
      <c r="Y268" t="s">
        <v>196</v>
      </c>
      <c r="Z268" t="s">
        <v>37</v>
      </c>
    </row>
    <row r="269" spans="1:26" x14ac:dyDescent="0.3">
      <c r="A269">
        <v>10381</v>
      </c>
      <c r="B269">
        <v>36</v>
      </c>
      <c r="C269">
        <v>100</v>
      </c>
      <c r="D269">
        <v>3</v>
      </c>
      <c r="E269">
        <v>8254.7999999999993</v>
      </c>
      <c r="F269" s="2">
        <v>38400</v>
      </c>
      <c r="G269" s="2" t="str">
        <f t="shared" si="4"/>
        <v>Feb</v>
      </c>
      <c r="H269" t="s">
        <v>26</v>
      </c>
      <c r="I269">
        <v>1</v>
      </c>
      <c r="J269">
        <v>2</v>
      </c>
      <c r="K269">
        <v>2005</v>
      </c>
      <c r="L269" t="s">
        <v>198</v>
      </c>
      <c r="M269">
        <v>214</v>
      </c>
      <c r="N269" t="s">
        <v>199</v>
      </c>
      <c r="O269" t="s">
        <v>60</v>
      </c>
      <c r="P269">
        <v>6505551386</v>
      </c>
      <c r="Q269" t="s">
        <v>61</v>
      </c>
      <c r="R269" t="s">
        <v>755</v>
      </c>
      <c r="S269" t="s">
        <v>62</v>
      </c>
      <c r="T269" t="s">
        <v>57</v>
      </c>
      <c r="U269" t="s">
        <v>755</v>
      </c>
      <c r="V269" t="s">
        <v>33</v>
      </c>
      <c r="W269" t="s">
        <v>34</v>
      </c>
      <c r="X269" t="s">
        <v>63</v>
      </c>
      <c r="Y269" t="s">
        <v>59</v>
      </c>
      <c r="Z269" t="s">
        <v>165</v>
      </c>
    </row>
    <row r="270" spans="1:26" x14ac:dyDescent="0.3">
      <c r="A270">
        <v>10382</v>
      </c>
      <c r="B270">
        <v>34</v>
      </c>
      <c r="C270">
        <v>100</v>
      </c>
      <c r="D270">
        <v>10</v>
      </c>
      <c r="E270">
        <v>3823.64</v>
      </c>
      <c r="F270" s="2">
        <v>38400</v>
      </c>
      <c r="G270" s="2" t="str">
        <f t="shared" si="4"/>
        <v>Feb</v>
      </c>
      <c r="H270" t="s">
        <v>26</v>
      </c>
      <c r="I270">
        <v>1</v>
      </c>
      <c r="J270">
        <v>2</v>
      </c>
      <c r="K270">
        <v>2005</v>
      </c>
      <c r="L270" t="s">
        <v>198</v>
      </c>
      <c r="M270">
        <v>207</v>
      </c>
      <c r="N270" t="s">
        <v>536</v>
      </c>
      <c r="O270" t="s">
        <v>301</v>
      </c>
      <c r="P270">
        <v>4155551450</v>
      </c>
      <c r="Q270" t="s">
        <v>302</v>
      </c>
      <c r="R270" t="s">
        <v>755</v>
      </c>
      <c r="S270" t="s">
        <v>303</v>
      </c>
      <c r="T270" t="s">
        <v>57</v>
      </c>
      <c r="U270">
        <v>97562</v>
      </c>
      <c r="V270" t="s">
        <v>33</v>
      </c>
      <c r="W270" t="s">
        <v>34</v>
      </c>
      <c r="X270" t="s">
        <v>304</v>
      </c>
      <c r="Y270" t="s">
        <v>305</v>
      </c>
      <c r="Z270" t="s">
        <v>52</v>
      </c>
    </row>
    <row r="271" spans="1:26" x14ac:dyDescent="0.3">
      <c r="A271">
        <v>10383</v>
      </c>
      <c r="B271">
        <v>27</v>
      </c>
      <c r="C271">
        <v>100</v>
      </c>
      <c r="D271">
        <v>11</v>
      </c>
      <c r="E271">
        <v>3843.99</v>
      </c>
      <c r="F271" s="2">
        <v>38405</v>
      </c>
      <c r="G271" s="2" t="str">
        <f t="shared" si="4"/>
        <v>Feb</v>
      </c>
      <c r="H271" t="s">
        <v>26</v>
      </c>
      <c r="I271">
        <v>1</v>
      </c>
      <c r="J271">
        <v>2</v>
      </c>
      <c r="K271">
        <v>2005</v>
      </c>
      <c r="L271" t="s">
        <v>573</v>
      </c>
      <c r="M271">
        <v>122</v>
      </c>
      <c r="N271" t="s">
        <v>690</v>
      </c>
      <c r="O271" t="s">
        <v>190</v>
      </c>
      <c r="P271" t="s">
        <v>191</v>
      </c>
      <c r="Q271" t="s">
        <v>192</v>
      </c>
      <c r="R271" t="s">
        <v>755</v>
      </c>
      <c r="S271" t="s">
        <v>193</v>
      </c>
      <c r="T271" t="s">
        <v>755</v>
      </c>
      <c r="U271">
        <v>28034</v>
      </c>
      <c r="V271" t="s">
        <v>194</v>
      </c>
      <c r="W271" t="s">
        <v>43</v>
      </c>
      <c r="X271" t="s">
        <v>195</v>
      </c>
      <c r="Y271" t="s">
        <v>196</v>
      </c>
      <c r="Z271" t="s">
        <v>52</v>
      </c>
    </row>
    <row r="272" spans="1:26" x14ac:dyDescent="0.3">
      <c r="A272">
        <v>10384</v>
      </c>
      <c r="B272">
        <v>34</v>
      </c>
      <c r="C272">
        <v>100</v>
      </c>
      <c r="D272">
        <v>4</v>
      </c>
      <c r="E272">
        <v>4846.7</v>
      </c>
      <c r="F272" s="2">
        <v>38406</v>
      </c>
      <c r="G272" s="2" t="str">
        <f t="shared" si="4"/>
        <v>Feb</v>
      </c>
      <c r="H272" t="s">
        <v>26</v>
      </c>
      <c r="I272">
        <v>1</v>
      </c>
      <c r="J272">
        <v>2</v>
      </c>
      <c r="K272">
        <v>2005</v>
      </c>
      <c r="L272" t="s">
        <v>198</v>
      </c>
      <c r="M272">
        <v>136</v>
      </c>
      <c r="N272" t="s">
        <v>358</v>
      </c>
      <c r="O272" t="s">
        <v>60</v>
      </c>
      <c r="P272">
        <v>6505551386</v>
      </c>
      <c r="Q272" t="s">
        <v>61</v>
      </c>
      <c r="R272" t="s">
        <v>755</v>
      </c>
      <c r="S272" t="s">
        <v>62</v>
      </c>
      <c r="T272" t="s">
        <v>57</v>
      </c>
      <c r="U272" t="s">
        <v>755</v>
      </c>
      <c r="V272" t="s">
        <v>33</v>
      </c>
      <c r="W272" t="s">
        <v>34</v>
      </c>
      <c r="X272" t="s">
        <v>63</v>
      </c>
      <c r="Y272" t="s">
        <v>59</v>
      </c>
      <c r="Z272" t="s">
        <v>52</v>
      </c>
    </row>
    <row r="273" spans="1:26" x14ac:dyDescent="0.3">
      <c r="A273">
        <v>10385</v>
      </c>
      <c r="B273">
        <v>37</v>
      </c>
      <c r="C273">
        <v>85.54</v>
      </c>
      <c r="D273">
        <v>2</v>
      </c>
      <c r="E273">
        <v>3164.98</v>
      </c>
      <c r="F273" s="2">
        <v>38411</v>
      </c>
      <c r="G273" s="2" t="str">
        <f t="shared" si="4"/>
        <v>Feb</v>
      </c>
      <c r="H273" t="s">
        <v>26</v>
      </c>
      <c r="I273">
        <v>1</v>
      </c>
      <c r="J273">
        <v>2</v>
      </c>
      <c r="K273">
        <v>2005</v>
      </c>
      <c r="L273" t="s">
        <v>630</v>
      </c>
      <c r="M273">
        <v>83</v>
      </c>
      <c r="N273" t="s">
        <v>739</v>
      </c>
      <c r="O273" t="s">
        <v>301</v>
      </c>
      <c r="P273">
        <v>4155551450</v>
      </c>
      <c r="Q273" t="s">
        <v>302</v>
      </c>
      <c r="R273" t="s">
        <v>755</v>
      </c>
      <c r="S273" t="s">
        <v>303</v>
      </c>
      <c r="T273" t="s">
        <v>57</v>
      </c>
      <c r="U273">
        <v>97562</v>
      </c>
      <c r="V273" t="s">
        <v>33</v>
      </c>
      <c r="W273" t="s">
        <v>34</v>
      </c>
      <c r="X273" t="s">
        <v>304</v>
      </c>
      <c r="Y273" t="s">
        <v>305</v>
      </c>
      <c r="Z273" t="s">
        <v>52</v>
      </c>
    </row>
    <row r="274" spans="1:26" x14ac:dyDescent="0.3">
      <c r="A274">
        <v>10386</v>
      </c>
      <c r="B274">
        <v>25</v>
      </c>
      <c r="C274">
        <v>54.57</v>
      </c>
      <c r="D274">
        <v>7</v>
      </c>
      <c r="E274">
        <v>1364.25</v>
      </c>
      <c r="F274" s="2">
        <v>38412</v>
      </c>
      <c r="G274" s="2" t="str">
        <f t="shared" si="4"/>
        <v>Mar</v>
      </c>
      <c r="H274" t="s">
        <v>460</v>
      </c>
      <c r="I274">
        <v>1</v>
      </c>
      <c r="J274">
        <v>3</v>
      </c>
      <c r="K274">
        <v>2005</v>
      </c>
      <c r="L274" t="s">
        <v>658</v>
      </c>
      <c r="M274">
        <v>157</v>
      </c>
      <c r="N274" t="s">
        <v>659</v>
      </c>
      <c r="O274" t="s">
        <v>190</v>
      </c>
      <c r="P274" t="s">
        <v>191</v>
      </c>
      <c r="Q274" t="s">
        <v>192</v>
      </c>
      <c r="R274" t="s">
        <v>755</v>
      </c>
      <c r="S274" t="s">
        <v>193</v>
      </c>
      <c r="T274" t="s">
        <v>755</v>
      </c>
      <c r="U274">
        <v>28034</v>
      </c>
      <c r="V274" t="s">
        <v>194</v>
      </c>
      <c r="W274" t="s">
        <v>43</v>
      </c>
      <c r="X274" t="s">
        <v>195</v>
      </c>
      <c r="Y274" t="s">
        <v>196</v>
      </c>
      <c r="Z274" t="s">
        <v>37</v>
      </c>
    </row>
    <row r="275" spans="1:26" x14ac:dyDescent="0.3">
      <c r="A275">
        <v>10387</v>
      </c>
      <c r="B275">
        <v>44</v>
      </c>
      <c r="C275">
        <v>94.9</v>
      </c>
      <c r="D275">
        <v>1</v>
      </c>
      <c r="E275">
        <v>4175.6000000000004</v>
      </c>
      <c r="F275" s="2">
        <v>38413</v>
      </c>
      <c r="G275" s="2" t="str">
        <f t="shared" si="4"/>
        <v>Mar</v>
      </c>
      <c r="H275" t="s">
        <v>26</v>
      </c>
      <c r="I275">
        <v>1</v>
      </c>
      <c r="J275">
        <v>3</v>
      </c>
      <c r="K275">
        <v>2005</v>
      </c>
      <c r="L275" t="s">
        <v>27</v>
      </c>
      <c r="M275">
        <v>99</v>
      </c>
      <c r="N275" t="s">
        <v>743</v>
      </c>
      <c r="O275" t="s">
        <v>217</v>
      </c>
      <c r="P275" t="s">
        <v>218</v>
      </c>
      <c r="Q275" t="s">
        <v>219</v>
      </c>
      <c r="R275" t="s">
        <v>755</v>
      </c>
      <c r="S275" t="s">
        <v>220</v>
      </c>
      <c r="T275" t="s">
        <v>755</v>
      </c>
      <c r="U275">
        <v>79903</v>
      </c>
      <c r="V275" t="s">
        <v>220</v>
      </c>
      <c r="W275" t="s">
        <v>221</v>
      </c>
      <c r="X275" t="s">
        <v>222</v>
      </c>
      <c r="Y275" t="s">
        <v>223</v>
      </c>
      <c r="Z275" t="s">
        <v>52</v>
      </c>
    </row>
    <row r="276" spans="1:26" x14ac:dyDescent="0.3">
      <c r="A276">
        <v>10388</v>
      </c>
      <c r="B276">
        <v>42</v>
      </c>
      <c r="C276">
        <v>76.36</v>
      </c>
      <c r="D276">
        <v>4</v>
      </c>
      <c r="E276">
        <v>3207.12</v>
      </c>
      <c r="F276" s="2">
        <v>38414</v>
      </c>
      <c r="G276" s="2" t="str">
        <f t="shared" si="4"/>
        <v>Mar</v>
      </c>
      <c r="H276" t="s">
        <v>26</v>
      </c>
      <c r="I276">
        <v>1</v>
      </c>
      <c r="J276">
        <v>3</v>
      </c>
      <c r="K276">
        <v>2005</v>
      </c>
      <c r="L276" t="s">
        <v>27</v>
      </c>
      <c r="M276">
        <v>95</v>
      </c>
      <c r="N276" t="s">
        <v>28</v>
      </c>
      <c r="O276" t="s">
        <v>175</v>
      </c>
      <c r="P276">
        <v>5085552555</v>
      </c>
      <c r="Q276" t="s">
        <v>176</v>
      </c>
      <c r="R276" t="s">
        <v>755</v>
      </c>
      <c r="S276" t="s">
        <v>177</v>
      </c>
      <c r="T276" t="s">
        <v>133</v>
      </c>
      <c r="U276">
        <v>50553</v>
      </c>
      <c r="V276" t="s">
        <v>33</v>
      </c>
      <c r="W276" t="s">
        <v>34</v>
      </c>
      <c r="X276" t="s">
        <v>178</v>
      </c>
      <c r="Y276" t="s">
        <v>179</v>
      </c>
      <c r="Z276" t="s">
        <v>52</v>
      </c>
    </row>
    <row r="277" spans="1:26" x14ac:dyDescent="0.3">
      <c r="A277">
        <v>10389</v>
      </c>
      <c r="B277">
        <v>26</v>
      </c>
      <c r="C277">
        <v>99.04</v>
      </c>
      <c r="D277">
        <v>4</v>
      </c>
      <c r="E277">
        <v>2575.04</v>
      </c>
      <c r="F277" s="2">
        <v>38414</v>
      </c>
      <c r="G277" s="2" t="str">
        <f t="shared" si="4"/>
        <v>Mar</v>
      </c>
      <c r="H277" t="s">
        <v>26</v>
      </c>
      <c r="I277">
        <v>1</v>
      </c>
      <c r="J277">
        <v>3</v>
      </c>
      <c r="K277">
        <v>2005</v>
      </c>
      <c r="L277" t="s">
        <v>198</v>
      </c>
      <c r="M277">
        <v>194</v>
      </c>
      <c r="N277" t="s">
        <v>480</v>
      </c>
      <c r="O277" t="s">
        <v>289</v>
      </c>
      <c r="P277" t="s">
        <v>290</v>
      </c>
      <c r="Q277" t="s">
        <v>291</v>
      </c>
      <c r="R277" t="s">
        <v>755</v>
      </c>
      <c r="S277" t="s">
        <v>292</v>
      </c>
      <c r="T277" t="s">
        <v>755</v>
      </c>
      <c r="U277" t="s">
        <v>293</v>
      </c>
      <c r="V277" t="s">
        <v>206</v>
      </c>
      <c r="W277" t="s">
        <v>43</v>
      </c>
      <c r="X277" t="s">
        <v>294</v>
      </c>
      <c r="Y277" t="s">
        <v>228</v>
      </c>
      <c r="Z277" t="s">
        <v>37</v>
      </c>
    </row>
    <row r="278" spans="1:26" x14ac:dyDescent="0.3">
      <c r="A278">
        <v>10390</v>
      </c>
      <c r="B278">
        <v>36</v>
      </c>
      <c r="C278">
        <v>93.77</v>
      </c>
      <c r="D278">
        <v>14</v>
      </c>
      <c r="E278">
        <v>3375.72</v>
      </c>
      <c r="F278" s="2">
        <v>38415</v>
      </c>
      <c r="G278" s="2" t="str">
        <f t="shared" si="4"/>
        <v>Mar</v>
      </c>
      <c r="H278" t="s">
        <v>26</v>
      </c>
      <c r="I278">
        <v>1</v>
      </c>
      <c r="J278">
        <v>3</v>
      </c>
      <c r="K278">
        <v>2005</v>
      </c>
      <c r="L278" t="s">
        <v>198</v>
      </c>
      <c r="M278">
        <v>141</v>
      </c>
      <c r="N278" t="s">
        <v>614</v>
      </c>
      <c r="O278" t="s">
        <v>301</v>
      </c>
      <c r="P278">
        <v>4155551450</v>
      </c>
      <c r="Q278" t="s">
        <v>302</v>
      </c>
      <c r="R278" t="s">
        <v>755</v>
      </c>
      <c r="S278" t="s">
        <v>303</v>
      </c>
      <c r="T278" t="s">
        <v>57</v>
      </c>
      <c r="U278">
        <v>97562</v>
      </c>
      <c r="V278" t="s">
        <v>33</v>
      </c>
      <c r="W278" t="s">
        <v>34</v>
      </c>
      <c r="X278" t="s">
        <v>304</v>
      </c>
      <c r="Y278" t="s">
        <v>305</v>
      </c>
      <c r="Z278" t="s">
        <v>52</v>
      </c>
    </row>
    <row r="279" spans="1:26" x14ac:dyDescent="0.3">
      <c r="A279">
        <v>10391</v>
      </c>
      <c r="B279">
        <v>24</v>
      </c>
      <c r="C279">
        <v>100</v>
      </c>
      <c r="D279">
        <v>4</v>
      </c>
      <c r="E279">
        <v>2416.56</v>
      </c>
      <c r="F279" s="2">
        <v>38420</v>
      </c>
      <c r="G279" s="2" t="str">
        <f t="shared" si="4"/>
        <v>Mar</v>
      </c>
      <c r="H279" t="s">
        <v>26</v>
      </c>
      <c r="I279">
        <v>1</v>
      </c>
      <c r="J279">
        <v>3</v>
      </c>
      <c r="K279">
        <v>2005</v>
      </c>
      <c r="L279" t="s">
        <v>198</v>
      </c>
      <c r="M279">
        <v>214</v>
      </c>
      <c r="N279" t="s">
        <v>199</v>
      </c>
      <c r="O279" t="s">
        <v>318</v>
      </c>
      <c r="P279" t="s">
        <v>319</v>
      </c>
      <c r="Q279" t="s">
        <v>320</v>
      </c>
      <c r="R279" t="s">
        <v>321</v>
      </c>
      <c r="S279" t="s">
        <v>322</v>
      </c>
      <c r="T279" t="s">
        <v>172</v>
      </c>
      <c r="U279">
        <v>2060</v>
      </c>
      <c r="V279" t="s">
        <v>101</v>
      </c>
      <c r="W279" t="s">
        <v>102</v>
      </c>
      <c r="X279" t="s">
        <v>323</v>
      </c>
      <c r="Y279" t="s">
        <v>324</v>
      </c>
      <c r="Z279" t="s">
        <v>37</v>
      </c>
    </row>
    <row r="280" spans="1:26" x14ac:dyDescent="0.3">
      <c r="A280">
        <v>10392</v>
      </c>
      <c r="B280">
        <v>37</v>
      </c>
      <c r="C280">
        <v>59.96</v>
      </c>
      <c r="D280">
        <v>3</v>
      </c>
      <c r="E280">
        <v>2218.52</v>
      </c>
      <c r="F280" s="2">
        <v>38421</v>
      </c>
      <c r="G280" s="2" t="str">
        <f t="shared" si="4"/>
        <v>Mar</v>
      </c>
      <c r="H280" t="s">
        <v>26</v>
      </c>
      <c r="I280">
        <v>1</v>
      </c>
      <c r="J280">
        <v>3</v>
      </c>
      <c r="K280">
        <v>2005</v>
      </c>
      <c r="L280" t="s">
        <v>630</v>
      </c>
      <c r="M280">
        <v>62</v>
      </c>
      <c r="N280" t="s">
        <v>701</v>
      </c>
      <c r="O280" t="s">
        <v>461</v>
      </c>
      <c r="P280" t="s">
        <v>462</v>
      </c>
      <c r="Q280" t="s">
        <v>463</v>
      </c>
      <c r="R280" t="s">
        <v>755</v>
      </c>
      <c r="S280" t="s">
        <v>464</v>
      </c>
      <c r="T280" t="s">
        <v>755</v>
      </c>
      <c r="U280">
        <v>8010</v>
      </c>
      <c r="V280" t="s">
        <v>162</v>
      </c>
      <c r="W280" t="s">
        <v>43</v>
      </c>
      <c r="X280" t="s">
        <v>465</v>
      </c>
      <c r="Y280" t="s">
        <v>466</v>
      </c>
      <c r="Z280" t="s">
        <v>37</v>
      </c>
    </row>
    <row r="281" spans="1:26" x14ac:dyDescent="0.3">
      <c r="A281">
        <v>10394</v>
      </c>
      <c r="B281">
        <v>22</v>
      </c>
      <c r="C281">
        <v>100</v>
      </c>
      <c r="D281">
        <v>5</v>
      </c>
      <c r="E281">
        <v>3353.02</v>
      </c>
      <c r="F281" s="2">
        <v>38426</v>
      </c>
      <c r="G281" s="2" t="str">
        <f t="shared" si="4"/>
        <v>Mar</v>
      </c>
      <c r="H281" t="s">
        <v>26</v>
      </c>
      <c r="I281">
        <v>1</v>
      </c>
      <c r="J281">
        <v>3</v>
      </c>
      <c r="K281">
        <v>2005</v>
      </c>
      <c r="L281" t="s">
        <v>198</v>
      </c>
      <c r="M281">
        <v>169</v>
      </c>
      <c r="N281" t="s">
        <v>710</v>
      </c>
      <c r="O281" t="s">
        <v>190</v>
      </c>
      <c r="P281" t="s">
        <v>191</v>
      </c>
      <c r="Q281" t="s">
        <v>192</v>
      </c>
      <c r="R281" t="s">
        <v>755</v>
      </c>
      <c r="S281" t="s">
        <v>193</v>
      </c>
      <c r="T281" t="s">
        <v>755</v>
      </c>
      <c r="U281">
        <v>28034</v>
      </c>
      <c r="V281" t="s">
        <v>194</v>
      </c>
      <c r="W281" t="s">
        <v>43</v>
      </c>
      <c r="X281" t="s">
        <v>195</v>
      </c>
      <c r="Y281" t="s">
        <v>196</v>
      </c>
      <c r="Z281" t="s">
        <v>52</v>
      </c>
    </row>
    <row r="282" spans="1:26" x14ac:dyDescent="0.3">
      <c r="A282">
        <v>10395</v>
      </c>
      <c r="B282">
        <v>32</v>
      </c>
      <c r="C282">
        <v>100</v>
      </c>
      <c r="D282">
        <v>2</v>
      </c>
      <c r="E282">
        <v>3370.56</v>
      </c>
      <c r="F282" s="2">
        <v>38428</v>
      </c>
      <c r="G282" s="2" t="str">
        <f t="shared" si="4"/>
        <v>Mar</v>
      </c>
      <c r="H282" t="s">
        <v>26</v>
      </c>
      <c r="I282">
        <v>1</v>
      </c>
      <c r="J282">
        <v>3</v>
      </c>
      <c r="K282">
        <v>2005</v>
      </c>
      <c r="L282" t="s">
        <v>198</v>
      </c>
      <c r="M282">
        <v>136</v>
      </c>
      <c r="N282" t="s">
        <v>358</v>
      </c>
      <c r="O282" t="s">
        <v>46</v>
      </c>
      <c r="P282" t="s">
        <v>47</v>
      </c>
      <c r="Q282" t="s">
        <v>48</v>
      </c>
      <c r="R282" t="s">
        <v>755</v>
      </c>
      <c r="S282" t="s">
        <v>49</v>
      </c>
      <c r="T282" t="s">
        <v>755</v>
      </c>
      <c r="U282">
        <v>75508</v>
      </c>
      <c r="V282" t="s">
        <v>42</v>
      </c>
      <c r="W282" t="s">
        <v>43</v>
      </c>
      <c r="X282" t="s">
        <v>50</v>
      </c>
      <c r="Y282" t="s">
        <v>51</v>
      </c>
      <c r="Z282" t="s">
        <v>52</v>
      </c>
    </row>
    <row r="283" spans="1:26" x14ac:dyDescent="0.3">
      <c r="A283">
        <v>10396</v>
      </c>
      <c r="B283">
        <v>33</v>
      </c>
      <c r="C283">
        <v>100</v>
      </c>
      <c r="D283">
        <v>3</v>
      </c>
      <c r="E283">
        <v>6109.29</v>
      </c>
      <c r="F283" s="2">
        <v>38434</v>
      </c>
      <c r="G283" s="2" t="str">
        <f t="shared" si="4"/>
        <v>Mar</v>
      </c>
      <c r="H283" t="s">
        <v>26</v>
      </c>
      <c r="I283">
        <v>1</v>
      </c>
      <c r="J283">
        <v>3</v>
      </c>
      <c r="K283">
        <v>2005</v>
      </c>
      <c r="L283" t="s">
        <v>198</v>
      </c>
      <c r="M283">
        <v>173</v>
      </c>
      <c r="N283" t="s">
        <v>591</v>
      </c>
      <c r="O283" t="s">
        <v>301</v>
      </c>
      <c r="P283">
        <v>4155551450</v>
      </c>
      <c r="Q283" t="s">
        <v>302</v>
      </c>
      <c r="R283" t="s">
        <v>755</v>
      </c>
      <c r="S283" t="s">
        <v>303</v>
      </c>
      <c r="T283" t="s">
        <v>57</v>
      </c>
      <c r="U283">
        <v>97562</v>
      </c>
      <c r="V283" t="s">
        <v>33</v>
      </c>
      <c r="W283" t="s">
        <v>34</v>
      </c>
      <c r="X283" t="s">
        <v>304</v>
      </c>
      <c r="Y283" t="s">
        <v>305</v>
      </c>
      <c r="Z283" t="s">
        <v>52</v>
      </c>
    </row>
    <row r="284" spans="1:26" x14ac:dyDescent="0.3">
      <c r="A284">
        <v>10397</v>
      </c>
      <c r="B284">
        <v>32</v>
      </c>
      <c r="C284">
        <v>80.55</v>
      </c>
      <c r="D284">
        <v>5</v>
      </c>
      <c r="E284">
        <v>2577.6</v>
      </c>
      <c r="F284" s="2">
        <v>38439</v>
      </c>
      <c r="G284" s="2" t="str">
        <f t="shared" si="4"/>
        <v>Mar</v>
      </c>
      <c r="H284" t="s">
        <v>26</v>
      </c>
      <c r="I284">
        <v>1</v>
      </c>
      <c r="J284">
        <v>3</v>
      </c>
      <c r="K284">
        <v>2005</v>
      </c>
      <c r="L284" t="s">
        <v>702</v>
      </c>
      <c r="M284">
        <v>86</v>
      </c>
      <c r="N284" t="s">
        <v>750</v>
      </c>
      <c r="O284" t="s">
        <v>379</v>
      </c>
      <c r="P284" t="s">
        <v>380</v>
      </c>
      <c r="Q284" t="s">
        <v>381</v>
      </c>
      <c r="R284" t="s">
        <v>755</v>
      </c>
      <c r="S284" t="s">
        <v>382</v>
      </c>
      <c r="T284" t="s">
        <v>755</v>
      </c>
      <c r="U284">
        <v>31000</v>
      </c>
      <c r="V284" t="s">
        <v>42</v>
      </c>
      <c r="W284" t="s">
        <v>43</v>
      </c>
      <c r="X284" t="s">
        <v>383</v>
      </c>
      <c r="Y284" t="s">
        <v>384</v>
      </c>
      <c r="Z284" t="s">
        <v>37</v>
      </c>
    </row>
    <row r="285" spans="1:26" x14ac:dyDescent="0.3">
      <c r="A285">
        <v>10398</v>
      </c>
      <c r="B285">
        <v>33</v>
      </c>
      <c r="C285">
        <v>100</v>
      </c>
      <c r="D285">
        <v>11</v>
      </c>
      <c r="E285">
        <v>4215.09</v>
      </c>
      <c r="F285" s="2">
        <v>38441</v>
      </c>
      <c r="G285" s="2" t="str">
        <f t="shared" si="4"/>
        <v>Mar</v>
      </c>
      <c r="H285" t="s">
        <v>26</v>
      </c>
      <c r="I285">
        <v>1</v>
      </c>
      <c r="J285">
        <v>3</v>
      </c>
      <c r="K285">
        <v>2005</v>
      </c>
      <c r="L285" t="s">
        <v>658</v>
      </c>
      <c r="M285">
        <v>157</v>
      </c>
      <c r="N285" t="s">
        <v>659</v>
      </c>
      <c r="O285" t="s">
        <v>38</v>
      </c>
      <c r="P285" t="s">
        <v>39</v>
      </c>
      <c r="Q285" t="s">
        <v>40</v>
      </c>
      <c r="R285" t="s">
        <v>755</v>
      </c>
      <c r="S285" t="s">
        <v>41</v>
      </c>
      <c r="T285" t="s">
        <v>755</v>
      </c>
      <c r="U285">
        <v>51100</v>
      </c>
      <c r="V285" t="s">
        <v>42</v>
      </c>
      <c r="W285" t="s">
        <v>43</v>
      </c>
      <c r="X285" t="s">
        <v>44</v>
      </c>
      <c r="Y285" t="s">
        <v>45</v>
      </c>
      <c r="Z285" t="s">
        <v>52</v>
      </c>
    </row>
    <row r="286" spans="1:26" x14ac:dyDescent="0.3">
      <c r="A286">
        <v>10400</v>
      </c>
      <c r="B286">
        <v>64</v>
      </c>
      <c r="C286">
        <v>100</v>
      </c>
      <c r="D286">
        <v>9</v>
      </c>
      <c r="E286">
        <v>9661.44</v>
      </c>
      <c r="F286" s="2">
        <v>38443</v>
      </c>
      <c r="G286" s="2" t="str">
        <f t="shared" si="4"/>
        <v>Apr</v>
      </c>
      <c r="H286" t="s">
        <v>26</v>
      </c>
      <c r="I286">
        <v>2</v>
      </c>
      <c r="J286">
        <v>4</v>
      </c>
      <c r="K286">
        <v>2005</v>
      </c>
      <c r="L286" t="s">
        <v>198</v>
      </c>
      <c r="M286">
        <v>136</v>
      </c>
      <c r="N286" t="s">
        <v>358</v>
      </c>
      <c r="O286" t="s">
        <v>448</v>
      </c>
      <c r="P286">
        <v>4085553659</v>
      </c>
      <c r="Q286" t="s">
        <v>449</v>
      </c>
      <c r="R286" t="s">
        <v>755</v>
      </c>
      <c r="S286" t="s">
        <v>450</v>
      </c>
      <c r="T286" t="s">
        <v>57</v>
      </c>
      <c r="U286">
        <v>94217</v>
      </c>
      <c r="V286" t="s">
        <v>33</v>
      </c>
      <c r="W286" t="s">
        <v>34</v>
      </c>
      <c r="X286" t="s">
        <v>108</v>
      </c>
      <c r="Y286" t="s">
        <v>451</v>
      </c>
      <c r="Z286" t="s">
        <v>165</v>
      </c>
    </row>
    <row r="287" spans="1:26" x14ac:dyDescent="0.3">
      <c r="A287">
        <v>10401</v>
      </c>
      <c r="B287">
        <v>42</v>
      </c>
      <c r="C287">
        <v>76.03</v>
      </c>
      <c r="D287">
        <v>3</v>
      </c>
      <c r="E287">
        <v>3193.26</v>
      </c>
      <c r="F287" s="2">
        <v>38445</v>
      </c>
      <c r="G287" s="2" t="str">
        <f t="shared" si="4"/>
        <v>Apr</v>
      </c>
      <c r="H287" t="s">
        <v>452</v>
      </c>
      <c r="I287">
        <v>2</v>
      </c>
      <c r="J287">
        <v>4</v>
      </c>
      <c r="K287">
        <v>2005</v>
      </c>
      <c r="L287" t="s">
        <v>658</v>
      </c>
      <c r="M287">
        <v>84</v>
      </c>
      <c r="N287" t="s">
        <v>695</v>
      </c>
      <c r="O287" t="s">
        <v>111</v>
      </c>
      <c r="P287">
        <v>2015559350</v>
      </c>
      <c r="Q287" t="s">
        <v>112</v>
      </c>
      <c r="R287" t="s">
        <v>755</v>
      </c>
      <c r="S287" t="s">
        <v>113</v>
      </c>
      <c r="T287" t="s">
        <v>114</v>
      </c>
      <c r="U287">
        <v>94019</v>
      </c>
      <c r="V287" t="s">
        <v>33</v>
      </c>
      <c r="W287" t="s">
        <v>34</v>
      </c>
      <c r="X287" t="s">
        <v>63</v>
      </c>
      <c r="Y287" t="s">
        <v>115</v>
      </c>
      <c r="Z287" t="s">
        <v>52</v>
      </c>
    </row>
    <row r="288" spans="1:26" x14ac:dyDescent="0.3">
      <c r="A288">
        <v>10402</v>
      </c>
      <c r="B288">
        <v>45</v>
      </c>
      <c r="C288">
        <v>100</v>
      </c>
      <c r="D288">
        <v>1</v>
      </c>
      <c r="E288">
        <v>5833.8</v>
      </c>
      <c r="F288" s="2">
        <v>38449</v>
      </c>
      <c r="G288" s="2" t="str">
        <f t="shared" si="4"/>
        <v>Apr</v>
      </c>
      <c r="H288" t="s">
        <v>26</v>
      </c>
      <c r="I288">
        <v>2</v>
      </c>
      <c r="J288">
        <v>4</v>
      </c>
      <c r="K288">
        <v>2005</v>
      </c>
      <c r="L288" t="s">
        <v>27</v>
      </c>
      <c r="M288">
        <v>118</v>
      </c>
      <c r="N288" t="s">
        <v>336</v>
      </c>
      <c r="O288" t="s">
        <v>89</v>
      </c>
      <c r="P288" t="s">
        <v>90</v>
      </c>
      <c r="Q288" t="s">
        <v>91</v>
      </c>
      <c r="R288" t="s">
        <v>755</v>
      </c>
      <c r="S288" t="s">
        <v>49</v>
      </c>
      <c r="T288" t="s">
        <v>755</v>
      </c>
      <c r="U288">
        <v>75016</v>
      </c>
      <c r="V288" t="s">
        <v>42</v>
      </c>
      <c r="W288" t="s">
        <v>43</v>
      </c>
      <c r="X288" t="s">
        <v>92</v>
      </c>
      <c r="Y288" t="s">
        <v>93</v>
      </c>
      <c r="Z288" t="s">
        <v>52</v>
      </c>
    </row>
    <row r="289" spans="1:26" x14ac:dyDescent="0.3">
      <c r="A289">
        <v>10403</v>
      </c>
      <c r="B289">
        <v>24</v>
      </c>
      <c r="C289">
        <v>100</v>
      </c>
      <c r="D289">
        <v>7</v>
      </c>
      <c r="E289">
        <v>2434.56</v>
      </c>
      <c r="F289" s="2">
        <v>38450</v>
      </c>
      <c r="G289" s="2" t="str">
        <f t="shared" si="4"/>
        <v>Apr</v>
      </c>
      <c r="H289" t="s">
        <v>26</v>
      </c>
      <c r="I289">
        <v>2</v>
      </c>
      <c r="J289">
        <v>4</v>
      </c>
      <c r="K289">
        <v>2005</v>
      </c>
      <c r="L289" t="s">
        <v>27</v>
      </c>
      <c r="M289">
        <v>95</v>
      </c>
      <c r="N289" t="s">
        <v>28</v>
      </c>
      <c r="O289" t="s">
        <v>180</v>
      </c>
      <c r="P289" t="s">
        <v>181</v>
      </c>
      <c r="Q289" t="s">
        <v>182</v>
      </c>
      <c r="R289" t="s">
        <v>755</v>
      </c>
      <c r="S289" t="s">
        <v>183</v>
      </c>
      <c r="T289" t="s">
        <v>755</v>
      </c>
      <c r="U289" t="s">
        <v>184</v>
      </c>
      <c r="V289" t="s">
        <v>185</v>
      </c>
      <c r="W289" t="s">
        <v>43</v>
      </c>
      <c r="X289" t="s">
        <v>186</v>
      </c>
      <c r="Y289" t="s">
        <v>187</v>
      </c>
      <c r="Z289" t="s">
        <v>37</v>
      </c>
    </row>
    <row r="290" spans="1:26" x14ac:dyDescent="0.3">
      <c r="A290">
        <v>10405</v>
      </c>
      <c r="B290">
        <v>97</v>
      </c>
      <c r="C290">
        <v>93.28</v>
      </c>
      <c r="D290">
        <v>5</v>
      </c>
      <c r="E290">
        <v>9048.16</v>
      </c>
      <c r="F290" s="2">
        <v>38456</v>
      </c>
      <c r="G290" s="2" t="str">
        <f t="shared" si="4"/>
        <v>Apr</v>
      </c>
      <c r="H290" t="s">
        <v>26</v>
      </c>
      <c r="I290">
        <v>2</v>
      </c>
      <c r="J290">
        <v>4</v>
      </c>
      <c r="K290">
        <v>2005</v>
      </c>
      <c r="L290" t="s">
        <v>198</v>
      </c>
      <c r="M290">
        <v>115</v>
      </c>
      <c r="N290" t="s">
        <v>606</v>
      </c>
      <c r="O290" t="s">
        <v>608</v>
      </c>
      <c r="P290" t="s">
        <v>609</v>
      </c>
      <c r="Q290" t="s">
        <v>610</v>
      </c>
      <c r="R290" t="s">
        <v>755</v>
      </c>
      <c r="S290" t="s">
        <v>611</v>
      </c>
      <c r="T290" t="s">
        <v>755</v>
      </c>
      <c r="U290">
        <v>67000</v>
      </c>
      <c r="V290" t="s">
        <v>42</v>
      </c>
      <c r="W290" t="s">
        <v>43</v>
      </c>
      <c r="X290" t="s">
        <v>612</v>
      </c>
      <c r="Y290" t="s">
        <v>613</v>
      </c>
      <c r="Z290" t="s">
        <v>165</v>
      </c>
    </row>
    <row r="291" spans="1:26" x14ac:dyDescent="0.3">
      <c r="A291">
        <v>10406</v>
      </c>
      <c r="B291">
        <v>61</v>
      </c>
      <c r="C291">
        <v>100</v>
      </c>
      <c r="D291">
        <v>3</v>
      </c>
      <c r="E291">
        <v>8374.69</v>
      </c>
      <c r="F291" s="2">
        <v>38457</v>
      </c>
      <c r="G291" s="2" t="str">
        <f t="shared" si="4"/>
        <v>Apr</v>
      </c>
      <c r="H291" t="s">
        <v>189</v>
      </c>
      <c r="I291">
        <v>2</v>
      </c>
      <c r="J291">
        <v>4</v>
      </c>
      <c r="K291">
        <v>2005</v>
      </c>
      <c r="L291" t="s">
        <v>198</v>
      </c>
      <c r="M291">
        <v>141</v>
      </c>
      <c r="N291" t="s">
        <v>614</v>
      </c>
      <c r="O291" t="s">
        <v>359</v>
      </c>
      <c r="P291" t="s">
        <v>360</v>
      </c>
      <c r="Q291" t="s">
        <v>361</v>
      </c>
      <c r="R291" t="s">
        <v>755</v>
      </c>
      <c r="S291" t="s">
        <v>362</v>
      </c>
      <c r="T291" t="s">
        <v>755</v>
      </c>
      <c r="U291">
        <v>1734</v>
      </c>
      <c r="V291" t="s">
        <v>363</v>
      </c>
      <c r="W291" t="s">
        <v>43</v>
      </c>
      <c r="X291" t="s">
        <v>364</v>
      </c>
      <c r="Y291" t="s">
        <v>365</v>
      </c>
      <c r="Z291" t="s">
        <v>165</v>
      </c>
    </row>
    <row r="292" spans="1:26" x14ac:dyDescent="0.3">
      <c r="A292">
        <v>10407</v>
      </c>
      <c r="B292">
        <v>59</v>
      </c>
      <c r="C292">
        <v>100</v>
      </c>
      <c r="D292">
        <v>11</v>
      </c>
      <c r="E292">
        <v>7048.14</v>
      </c>
      <c r="F292" s="2">
        <v>38464</v>
      </c>
      <c r="G292" s="2" t="str">
        <f t="shared" si="4"/>
        <v>Apr</v>
      </c>
      <c r="H292" t="s">
        <v>452</v>
      </c>
      <c r="I292">
        <v>2</v>
      </c>
      <c r="J292">
        <v>4</v>
      </c>
      <c r="K292">
        <v>2005</v>
      </c>
      <c r="L292" t="s">
        <v>198</v>
      </c>
      <c r="M292">
        <v>124</v>
      </c>
      <c r="N292" t="s">
        <v>653</v>
      </c>
      <c r="O292" t="s">
        <v>448</v>
      </c>
      <c r="P292">
        <v>4085553659</v>
      </c>
      <c r="Q292" t="s">
        <v>449</v>
      </c>
      <c r="R292" t="s">
        <v>755</v>
      </c>
      <c r="S292" t="s">
        <v>450</v>
      </c>
      <c r="T292" t="s">
        <v>57</v>
      </c>
      <c r="U292">
        <v>94217</v>
      </c>
      <c r="V292" t="s">
        <v>33</v>
      </c>
      <c r="W292" t="s">
        <v>34</v>
      </c>
      <c r="X292" t="s">
        <v>108</v>
      </c>
      <c r="Y292" t="s">
        <v>451</v>
      </c>
      <c r="Z292" t="s">
        <v>165</v>
      </c>
    </row>
    <row r="293" spans="1:26" x14ac:dyDescent="0.3">
      <c r="A293">
        <v>10408</v>
      </c>
      <c r="B293">
        <v>15</v>
      </c>
      <c r="C293">
        <v>36.93</v>
      </c>
      <c r="D293">
        <v>1</v>
      </c>
      <c r="E293">
        <v>553.95000000000005</v>
      </c>
      <c r="F293" s="2">
        <v>38464</v>
      </c>
      <c r="G293" s="2" t="str">
        <f t="shared" si="4"/>
        <v>Apr</v>
      </c>
      <c r="H293" t="s">
        <v>26</v>
      </c>
      <c r="I293">
        <v>2</v>
      </c>
      <c r="J293">
        <v>4</v>
      </c>
      <c r="K293">
        <v>2005</v>
      </c>
      <c r="L293" t="s">
        <v>630</v>
      </c>
      <c r="M293">
        <v>41</v>
      </c>
      <c r="N293" t="s">
        <v>741</v>
      </c>
      <c r="O293" t="s">
        <v>272</v>
      </c>
      <c r="P293" t="s">
        <v>273</v>
      </c>
      <c r="Q293" t="s">
        <v>274</v>
      </c>
      <c r="R293" t="s">
        <v>755</v>
      </c>
      <c r="S293" t="s">
        <v>275</v>
      </c>
      <c r="T293" t="s">
        <v>276</v>
      </c>
      <c r="U293" t="s">
        <v>277</v>
      </c>
      <c r="V293" t="s">
        <v>221</v>
      </c>
      <c r="W293" t="s">
        <v>221</v>
      </c>
      <c r="X293" t="s">
        <v>278</v>
      </c>
      <c r="Y293" t="s">
        <v>279</v>
      </c>
      <c r="Z293" t="s">
        <v>37</v>
      </c>
    </row>
    <row r="294" spans="1:26" x14ac:dyDescent="0.3">
      <c r="A294">
        <v>10409</v>
      </c>
      <c r="B294">
        <v>6</v>
      </c>
      <c r="C294">
        <v>100</v>
      </c>
      <c r="D294">
        <v>2</v>
      </c>
      <c r="E294">
        <v>785.64</v>
      </c>
      <c r="F294" s="2">
        <v>38465</v>
      </c>
      <c r="G294" s="2" t="str">
        <f t="shared" si="4"/>
        <v>Apr</v>
      </c>
      <c r="H294" t="s">
        <v>26</v>
      </c>
      <c r="I294">
        <v>2</v>
      </c>
      <c r="J294">
        <v>4</v>
      </c>
      <c r="K294">
        <v>2005</v>
      </c>
      <c r="L294" t="s">
        <v>630</v>
      </c>
      <c r="M294">
        <v>127</v>
      </c>
      <c r="N294" t="s">
        <v>691</v>
      </c>
      <c r="O294" t="s">
        <v>470</v>
      </c>
      <c r="P294" t="s">
        <v>471</v>
      </c>
      <c r="Q294" t="s">
        <v>472</v>
      </c>
      <c r="R294" t="s">
        <v>473</v>
      </c>
      <c r="S294" t="s">
        <v>220</v>
      </c>
      <c r="T294" t="s">
        <v>755</v>
      </c>
      <c r="U294">
        <v>69045</v>
      </c>
      <c r="V294" t="s">
        <v>220</v>
      </c>
      <c r="W294" t="s">
        <v>102</v>
      </c>
      <c r="X294" t="s">
        <v>474</v>
      </c>
      <c r="Y294" t="s">
        <v>475</v>
      </c>
      <c r="Z294" t="s">
        <v>37</v>
      </c>
    </row>
    <row r="295" spans="1:26" x14ac:dyDescent="0.3">
      <c r="A295">
        <v>10411</v>
      </c>
      <c r="B295">
        <v>23</v>
      </c>
      <c r="C295">
        <v>100</v>
      </c>
      <c r="D295">
        <v>9</v>
      </c>
      <c r="E295">
        <v>4140.2299999999996</v>
      </c>
      <c r="F295" s="2">
        <v>38473</v>
      </c>
      <c r="G295" s="2" t="str">
        <f t="shared" si="4"/>
        <v>May</v>
      </c>
      <c r="H295" t="s">
        <v>26</v>
      </c>
      <c r="I295">
        <v>2</v>
      </c>
      <c r="J295">
        <v>5</v>
      </c>
      <c r="K295">
        <v>2005</v>
      </c>
      <c r="L295" t="s">
        <v>198</v>
      </c>
      <c r="M295">
        <v>214</v>
      </c>
      <c r="N295" t="s">
        <v>199</v>
      </c>
      <c r="O295" t="s">
        <v>325</v>
      </c>
      <c r="P295" t="s">
        <v>326</v>
      </c>
      <c r="Q295" t="s">
        <v>327</v>
      </c>
      <c r="R295" t="s">
        <v>755</v>
      </c>
      <c r="S295" t="s">
        <v>328</v>
      </c>
      <c r="T295" t="s">
        <v>329</v>
      </c>
      <c r="U295" t="s">
        <v>330</v>
      </c>
      <c r="V295" t="s">
        <v>255</v>
      </c>
      <c r="W295" t="s">
        <v>34</v>
      </c>
      <c r="X295" t="s">
        <v>331</v>
      </c>
      <c r="Y295" t="s">
        <v>332</v>
      </c>
      <c r="Z295" t="s">
        <v>52</v>
      </c>
    </row>
    <row r="296" spans="1:26" x14ac:dyDescent="0.3">
      <c r="A296">
        <v>10412</v>
      </c>
      <c r="B296">
        <v>54</v>
      </c>
      <c r="C296">
        <v>100</v>
      </c>
      <c r="D296">
        <v>5</v>
      </c>
      <c r="E296">
        <v>5951.34</v>
      </c>
      <c r="F296" s="2">
        <v>38475</v>
      </c>
      <c r="G296" s="2" t="str">
        <f t="shared" si="4"/>
        <v>May</v>
      </c>
      <c r="H296" t="s">
        <v>26</v>
      </c>
      <c r="I296">
        <v>2</v>
      </c>
      <c r="J296">
        <v>5</v>
      </c>
      <c r="K296">
        <v>2005</v>
      </c>
      <c r="L296" t="s">
        <v>573</v>
      </c>
      <c r="M296">
        <v>118</v>
      </c>
      <c r="N296" t="s">
        <v>594</v>
      </c>
      <c r="O296" t="s">
        <v>190</v>
      </c>
      <c r="P296" t="s">
        <v>191</v>
      </c>
      <c r="Q296" t="s">
        <v>192</v>
      </c>
      <c r="R296" t="s">
        <v>755</v>
      </c>
      <c r="S296" t="s">
        <v>193</v>
      </c>
      <c r="T296" t="s">
        <v>755</v>
      </c>
      <c r="U296">
        <v>28034</v>
      </c>
      <c r="V296" t="s">
        <v>194</v>
      </c>
      <c r="W296" t="s">
        <v>43</v>
      </c>
      <c r="X296" t="s">
        <v>195</v>
      </c>
      <c r="Y296" t="s">
        <v>196</v>
      </c>
      <c r="Z296" t="s">
        <v>52</v>
      </c>
    </row>
    <row r="297" spans="1:26" x14ac:dyDescent="0.3">
      <c r="A297">
        <v>10413</v>
      </c>
      <c r="B297">
        <v>36</v>
      </c>
      <c r="C297">
        <v>100</v>
      </c>
      <c r="D297">
        <v>2</v>
      </c>
      <c r="E297">
        <v>8677.7999999999993</v>
      </c>
      <c r="F297" s="2">
        <v>38477</v>
      </c>
      <c r="G297" s="2" t="str">
        <f t="shared" si="4"/>
        <v>May</v>
      </c>
      <c r="H297" t="s">
        <v>26</v>
      </c>
      <c r="I297">
        <v>2</v>
      </c>
      <c r="J297">
        <v>5</v>
      </c>
      <c r="K297">
        <v>2005</v>
      </c>
      <c r="L297" t="s">
        <v>198</v>
      </c>
      <c r="M297">
        <v>207</v>
      </c>
      <c r="N297" t="s">
        <v>536</v>
      </c>
      <c r="O297" t="s">
        <v>117</v>
      </c>
      <c r="P297">
        <v>2035552570</v>
      </c>
      <c r="Q297" t="s">
        <v>118</v>
      </c>
      <c r="R297" t="s">
        <v>755</v>
      </c>
      <c r="S297" t="s">
        <v>119</v>
      </c>
      <c r="T297" t="s">
        <v>120</v>
      </c>
      <c r="U297">
        <v>97562</v>
      </c>
      <c r="V297" t="s">
        <v>33</v>
      </c>
      <c r="W297" t="s">
        <v>34</v>
      </c>
      <c r="X297" t="s">
        <v>121</v>
      </c>
      <c r="Y297" t="s">
        <v>59</v>
      </c>
      <c r="Z297" t="s">
        <v>165</v>
      </c>
    </row>
    <row r="298" spans="1:26" x14ac:dyDescent="0.3">
      <c r="A298">
        <v>10414</v>
      </c>
      <c r="B298">
        <v>19</v>
      </c>
      <c r="C298">
        <v>100</v>
      </c>
      <c r="D298">
        <v>3</v>
      </c>
      <c r="E298">
        <v>2764.88</v>
      </c>
      <c r="F298" s="2">
        <v>38478</v>
      </c>
      <c r="G298" s="2" t="str">
        <f t="shared" si="4"/>
        <v>May</v>
      </c>
      <c r="H298" t="s">
        <v>452</v>
      </c>
      <c r="I298">
        <v>2</v>
      </c>
      <c r="J298">
        <v>5</v>
      </c>
      <c r="K298">
        <v>2005</v>
      </c>
      <c r="L298" t="s">
        <v>198</v>
      </c>
      <c r="M298">
        <v>136</v>
      </c>
      <c r="N298" t="s">
        <v>358</v>
      </c>
      <c r="O298" t="s">
        <v>424</v>
      </c>
      <c r="P298">
        <v>6175559555</v>
      </c>
      <c r="Q298" t="s">
        <v>425</v>
      </c>
      <c r="R298" t="s">
        <v>755</v>
      </c>
      <c r="S298" t="s">
        <v>426</v>
      </c>
      <c r="T298" t="s">
        <v>133</v>
      </c>
      <c r="U298">
        <v>51003</v>
      </c>
      <c r="V298" t="s">
        <v>33</v>
      </c>
      <c r="W298" t="s">
        <v>34</v>
      </c>
      <c r="X298" t="s">
        <v>427</v>
      </c>
      <c r="Y298" t="s">
        <v>69</v>
      </c>
      <c r="Z298" t="s">
        <v>37</v>
      </c>
    </row>
    <row r="299" spans="1:26" x14ac:dyDescent="0.3">
      <c r="A299">
        <v>10415</v>
      </c>
      <c r="B299">
        <v>51</v>
      </c>
      <c r="C299">
        <v>100</v>
      </c>
      <c r="D299">
        <v>5</v>
      </c>
      <c r="E299">
        <v>6209.25</v>
      </c>
      <c r="F299" s="2">
        <v>38481</v>
      </c>
      <c r="G299" s="2" t="str">
        <f t="shared" si="4"/>
        <v>May</v>
      </c>
      <c r="H299" t="s">
        <v>189</v>
      </c>
      <c r="I299">
        <v>2</v>
      </c>
      <c r="J299">
        <v>5</v>
      </c>
      <c r="K299">
        <v>2005</v>
      </c>
      <c r="L299" t="s">
        <v>630</v>
      </c>
      <c r="M299">
        <v>105</v>
      </c>
      <c r="N299" t="s">
        <v>721</v>
      </c>
      <c r="O299" t="s">
        <v>643</v>
      </c>
      <c r="P299" t="s">
        <v>644</v>
      </c>
      <c r="Q299" t="s">
        <v>645</v>
      </c>
      <c r="R299" t="s">
        <v>755</v>
      </c>
      <c r="S299" t="s">
        <v>646</v>
      </c>
      <c r="T299" t="s">
        <v>100</v>
      </c>
      <c r="U299">
        <v>3150</v>
      </c>
      <c r="V299" t="s">
        <v>101</v>
      </c>
      <c r="W299" t="s">
        <v>102</v>
      </c>
      <c r="X299" t="s">
        <v>647</v>
      </c>
      <c r="Y299" t="s">
        <v>648</v>
      </c>
      <c r="Z299" t="s">
        <v>52</v>
      </c>
    </row>
    <row r="300" spans="1:26" x14ac:dyDescent="0.3">
      <c r="A300">
        <v>10416</v>
      </c>
      <c r="B300">
        <v>24</v>
      </c>
      <c r="C300">
        <v>100</v>
      </c>
      <c r="D300">
        <v>14</v>
      </c>
      <c r="E300">
        <v>4352.16</v>
      </c>
      <c r="F300" s="2">
        <v>38482</v>
      </c>
      <c r="G300" s="2" t="str">
        <f t="shared" si="4"/>
        <v>May</v>
      </c>
      <c r="H300" t="s">
        <v>26</v>
      </c>
      <c r="I300">
        <v>2</v>
      </c>
      <c r="J300">
        <v>5</v>
      </c>
      <c r="K300">
        <v>2005</v>
      </c>
      <c r="L300" t="s">
        <v>658</v>
      </c>
      <c r="M300">
        <v>157</v>
      </c>
      <c r="N300" t="s">
        <v>659</v>
      </c>
      <c r="O300" t="s">
        <v>510</v>
      </c>
      <c r="P300" t="s">
        <v>511</v>
      </c>
      <c r="Q300" t="s">
        <v>512</v>
      </c>
      <c r="R300" t="s">
        <v>755</v>
      </c>
      <c r="S300" t="s">
        <v>513</v>
      </c>
      <c r="T300" t="s">
        <v>755</v>
      </c>
      <c r="U300">
        <v>42100</v>
      </c>
      <c r="V300" t="s">
        <v>286</v>
      </c>
      <c r="W300" t="s">
        <v>43</v>
      </c>
      <c r="X300" t="s">
        <v>514</v>
      </c>
      <c r="Y300" t="s">
        <v>515</v>
      </c>
      <c r="Z300" t="s">
        <v>52</v>
      </c>
    </row>
    <row r="301" spans="1:26" x14ac:dyDescent="0.3">
      <c r="A301">
        <v>10417</v>
      </c>
      <c r="B301">
        <v>66</v>
      </c>
      <c r="C301">
        <v>100</v>
      </c>
      <c r="D301">
        <v>2</v>
      </c>
      <c r="E301">
        <v>7516.08</v>
      </c>
      <c r="F301" s="2">
        <v>38485</v>
      </c>
      <c r="G301" s="2" t="str">
        <f t="shared" si="4"/>
        <v>May</v>
      </c>
      <c r="H301" t="s">
        <v>189</v>
      </c>
      <c r="I301">
        <v>2</v>
      </c>
      <c r="J301">
        <v>5</v>
      </c>
      <c r="K301">
        <v>2005</v>
      </c>
      <c r="L301" t="s">
        <v>27</v>
      </c>
      <c r="M301">
        <v>95</v>
      </c>
      <c r="N301" t="s">
        <v>28</v>
      </c>
      <c r="O301" t="s">
        <v>190</v>
      </c>
      <c r="P301" t="s">
        <v>191</v>
      </c>
      <c r="Q301" t="s">
        <v>192</v>
      </c>
      <c r="R301" t="s">
        <v>755</v>
      </c>
      <c r="S301" t="s">
        <v>193</v>
      </c>
      <c r="T301" t="s">
        <v>755</v>
      </c>
      <c r="U301">
        <v>28034</v>
      </c>
      <c r="V301" t="s">
        <v>194</v>
      </c>
      <c r="W301" t="s">
        <v>43</v>
      </c>
      <c r="X301" t="s">
        <v>195</v>
      </c>
      <c r="Y301" t="s">
        <v>196</v>
      </c>
      <c r="Z301" t="s">
        <v>165</v>
      </c>
    </row>
    <row r="302" spans="1:26" x14ac:dyDescent="0.3">
      <c r="A302">
        <v>10419</v>
      </c>
      <c r="B302">
        <v>12</v>
      </c>
      <c r="C302">
        <v>100</v>
      </c>
      <c r="D302">
        <v>13</v>
      </c>
      <c r="E302">
        <v>1961.28</v>
      </c>
      <c r="F302" s="2">
        <v>38489</v>
      </c>
      <c r="G302" s="2" t="str">
        <f t="shared" si="4"/>
        <v>May</v>
      </c>
      <c r="H302" t="s">
        <v>26</v>
      </c>
      <c r="I302">
        <v>2</v>
      </c>
      <c r="J302">
        <v>5</v>
      </c>
      <c r="K302">
        <v>2005</v>
      </c>
      <c r="L302" t="s">
        <v>198</v>
      </c>
      <c r="M302">
        <v>194</v>
      </c>
      <c r="N302" t="s">
        <v>480</v>
      </c>
      <c r="O302" t="s">
        <v>158</v>
      </c>
      <c r="P302" t="s">
        <v>159</v>
      </c>
      <c r="Q302" t="s">
        <v>160</v>
      </c>
      <c r="R302" t="s">
        <v>755</v>
      </c>
      <c r="S302" t="s">
        <v>161</v>
      </c>
      <c r="T302" t="s">
        <v>755</v>
      </c>
      <c r="U302">
        <v>5020</v>
      </c>
      <c r="V302" t="s">
        <v>162</v>
      </c>
      <c r="W302" t="s">
        <v>43</v>
      </c>
      <c r="X302" t="s">
        <v>163</v>
      </c>
      <c r="Y302" t="s">
        <v>164</v>
      </c>
      <c r="Z302" t="s">
        <v>37</v>
      </c>
    </row>
    <row r="303" spans="1:26" x14ac:dyDescent="0.3">
      <c r="A303">
        <v>10420</v>
      </c>
      <c r="B303">
        <v>37</v>
      </c>
      <c r="C303">
        <v>100</v>
      </c>
      <c r="D303">
        <v>5</v>
      </c>
      <c r="E303">
        <v>5283.6</v>
      </c>
      <c r="F303" s="2">
        <v>38501</v>
      </c>
      <c r="G303" s="2" t="str">
        <f t="shared" si="4"/>
        <v>May</v>
      </c>
      <c r="H303" t="s">
        <v>334</v>
      </c>
      <c r="I303">
        <v>2</v>
      </c>
      <c r="J303">
        <v>5</v>
      </c>
      <c r="K303">
        <v>2005</v>
      </c>
      <c r="L303" t="s">
        <v>630</v>
      </c>
      <c r="M303">
        <v>170</v>
      </c>
      <c r="N303" t="s">
        <v>683</v>
      </c>
      <c r="O303" t="s">
        <v>167</v>
      </c>
      <c r="P303" t="s">
        <v>168</v>
      </c>
      <c r="Q303" t="s">
        <v>169</v>
      </c>
      <c r="R303" t="s">
        <v>170</v>
      </c>
      <c r="S303" t="s">
        <v>171</v>
      </c>
      <c r="T303" t="s">
        <v>172</v>
      </c>
      <c r="U303">
        <v>2067</v>
      </c>
      <c r="V303" t="s">
        <v>101</v>
      </c>
      <c r="W303" t="s">
        <v>102</v>
      </c>
      <c r="X303" t="s">
        <v>173</v>
      </c>
      <c r="Y303" t="s">
        <v>174</v>
      </c>
      <c r="Z303" t="s">
        <v>52</v>
      </c>
    </row>
    <row r="304" spans="1:26" x14ac:dyDescent="0.3">
      <c r="A304">
        <v>10421</v>
      </c>
      <c r="B304">
        <v>35</v>
      </c>
      <c r="C304">
        <v>100</v>
      </c>
      <c r="D304">
        <v>1</v>
      </c>
      <c r="E304">
        <v>5433.75</v>
      </c>
      <c r="F304" s="2">
        <v>38501</v>
      </c>
      <c r="G304" s="2" t="str">
        <f t="shared" si="4"/>
        <v>May</v>
      </c>
      <c r="H304" t="s">
        <v>334</v>
      </c>
      <c r="I304">
        <v>2</v>
      </c>
      <c r="J304">
        <v>5</v>
      </c>
      <c r="K304">
        <v>2005</v>
      </c>
      <c r="L304" t="s">
        <v>630</v>
      </c>
      <c r="M304">
        <v>168</v>
      </c>
      <c r="N304" t="s">
        <v>697</v>
      </c>
      <c r="O304" t="s">
        <v>301</v>
      </c>
      <c r="P304">
        <v>4155551450</v>
      </c>
      <c r="Q304" t="s">
        <v>302</v>
      </c>
      <c r="R304" t="s">
        <v>755</v>
      </c>
      <c r="S304" t="s">
        <v>303</v>
      </c>
      <c r="T304" t="s">
        <v>57</v>
      </c>
      <c r="U304">
        <v>97562</v>
      </c>
      <c r="V304" t="s">
        <v>33</v>
      </c>
      <c r="W304" t="s">
        <v>34</v>
      </c>
      <c r="X304" t="s">
        <v>304</v>
      </c>
      <c r="Y304" t="s">
        <v>305</v>
      </c>
      <c r="Z304" t="s">
        <v>52</v>
      </c>
    </row>
    <row r="305" spans="1:26" x14ac:dyDescent="0.3">
      <c r="A305">
        <v>10422</v>
      </c>
      <c r="B305">
        <v>51</v>
      </c>
      <c r="C305">
        <v>95.55</v>
      </c>
      <c r="D305">
        <v>2</v>
      </c>
      <c r="E305">
        <v>4873.05</v>
      </c>
      <c r="F305" s="2">
        <v>38502</v>
      </c>
      <c r="G305" s="2" t="str">
        <f t="shared" si="4"/>
        <v>May</v>
      </c>
      <c r="H305" t="s">
        <v>334</v>
      </c>
      <c r="I305">
        <v>2</v>
      </c>
      <c r="J305">
        <v>5</v>
      </c>
      <c r="K305">
        <v>2005</v>
      </c>
      <c r="L305" t="s">
        <v>630</v>
      </c>
      <c r="M305">
        <v>102</v>
      </c>
      <c r="N305" t="s">
        <v>631</v>
      </c>
      <c r="O305" t="s">
        <v>151</v>
      </c>
      <c r="P305">
        <v>2155551555</v>
      </c>
      <c r="Q305" t="s">
        <v>152</v>
      </c>
      <c r="R305" t="s">
        <v>755</v>
      </c>
      <c r="S305" t="s">
        <v>153</v>
      </c>
      <c r="T305" t="s">
        <v>154</v>
      </c>
      <c r="U305">
        <v>70267</v>
      </c>
      <c r="V305" t="s">
        <v>33</v>
      </c>
      <c r="W305" t="s">
        <v>34</v>
      </c>
      <c r="X305" t="s">
        <v>35</v>
      </c>
      <c r="Y305" t="s">
        <v>155</v>
      </c>
      <c r="Z305" t="s">
        <v>52</v>
      </c>
    </row>
    <row r="306" spans="1:26" x14ac:dyDescent="0.3">
      <c r="A306">
        <v>10423</v>
      </c>
      <c r="B306">
        <v>10</v>
      </c>
      <c r="C306">
        <v>88.14</v>
      </c>
      <c r="D306">
        <v>1</v>
      </c>
      <c r="E306">
        <v>881.4</v>
      </c>
      <c r="F306" s="2">
        <v>38502</v>
      </c>
      <c r="G306" s="2" t="str">
        <f t="shared" si="4"/>
        <v>May</v>
      </c>
      <c r="H306" t="s">
        <v>334</v>
      </c>
      <c r="I306">
        <v>2</v>
      </c>
      <c r="J306">
        <v>5</v>
      </c>
      <c r="K306">
        <v>2005</v>
      </c>
      <c r="L306" t="s">
        <v>630</v>
      </c>
      <c r="M306">
        <v>101</v>
      </c>
      <c r="N306" t="s">
        <v>699</v>
      </c>
      <c r="O306" t="s">
        <v>409</v>
      </c>
      <c r="P306" t="s">
        <v>410</v>
      </c>
      <c r="Q306" t="s">
        <v>411</v>
      </c>
      <c r="R306" t="s">
        <v>755</v>
      </c>
      <c r="S306" t="s">
        <v>412</v>
      </c>
      <c r="T306" t="s">
        <v>755</v>
      </c>
      <c r="U306" t="s">
        <v>413</v>
      </c>
      <c r="V306" t="s">
        <v>414</v>
      </c>
      <c r="W306" t="s">
        <v>43</v>
      </c>
      <c r="X306" t="s">
        <v>415</v>
      </c>
      <c r="Y306" t="s">
        <v>416</v>
      </c>
      <c r="Z306" t="s">
        <v>37</v>
      </c>
    </row>
    <row r="307" spans="1:26" x14ac:dyDescent="0.3">
      <c r="A307">
        <v>10424</v>
      </c>
      <c r="B307">
        <v>50</v>
      </c>
      <c r="C307">
        <v>100</v>
      </c>
      <c r="D307">
        <v>6</v>
      </c>
      <c r="E307">
        <v>12001</v>
      </c>
      <c r="F307" s="2">
        <v>38503</v>
      </c>
      <c r="G307" s="2" t="str">
        <f t="shared" si="4"/>
        <v>May</v>
      </c>
      <c r="H307" t="s">
        <v>334</v>
      </c>
      <c r="I307">
        <v>2</v>
      </c>
      <c r="J307">
        <v>5</v>
      </c>
      <c r="K307">
        <v>2005</v>
      </c>
      <c r="L307" t="s">
        <v>198</v>
      </c>
      <c r="M307">
        <v>214</v>
      </c>
      <c r="N307" t="s">
        <v>199</v>
      </c>
      <c r="O307" t="s">
        <v>190</v>
      </c>
      <c r="P307" t="s">
        <v>191</v>
      </c>
      <c r="Q307" t="s">
        <v>192</v>
      </c>
      <c r="R307" t="s">
        <v>755</v>
      </c>
      <c r="S307" t="s">
        <v>193</v>
      </c>
      <c r="T307" t="s">
        <v>755</v>
      </c>
      <c r="U307">
        <v>28034</v>
      </c>
      <c r="V307" t="s">
        <v>194</v>
      </c>
      <c r="W307" t="s">
        <v>43</v>
      </c>
      <c r="X307" t="s">
        <v>195</v>
      </c>
      <c r="Y307" t="s">
        <v>196</v>
      </c>
      <c r="Z307" t="s">
        <v>165</v>
      </c>
    </row>
    <row r="308" spans="1:26" x14ac:dyDescent="0.3">
      <c r="A308">
        <v>10425</v>
      </c>
      <c r="B308">
        <v>38</v>
      </c>
      <c r="C308">
        <v>100</v>
      </c>
      <c r="D308">
        <v>12</v>
      </c>
      <c r="E308">
        <v>5894.94</v>
      </c>
      <c r="F308" s="2">
        <v>38503</v>
      </c>
      <c r="G308" s="2" t="str">
        <f t="shared" si="4"/>
        <v>May</v>
      </c>
      <c r="H308" t="s">
        <v>334</v>
      </c>
      <c r="I308">
        <v>2</v>
      </c>
      <c r="J308">
        <v>5</v>
      </c>
      <c r="K308">
        <v>2005</v>
      </c>
      <c r="L308" t="s">
        <v>198</v>
      </c>
      <c r="M308">
        <v>147</v>
      </c>
      <c r="N308" t="s">
        <v>453</v>
      </c>
      <c r="O308" t="s">
        <v>123</v>
      </c>
      <c r="P308" t="s">
        <v>124</v>
      </c>
      <c r="Q308" t="s">
        <v>125</v>
      </c>
      <c r="R308" t="s">
        <v>755</v>
      </c>
      <c r="S308" t="s">
        <v>126</v>
      </c>
      <c r="T308" t="s">
        <v>755</v>
      </c>
      <c r="U308">
        <v>44000</v>
      </c>
      <c r="V308" t="s">
        <v>42</v>
      </c>
      <c r="W308" t="s">
        <v>43</v>
      </c>
      <c r="X308" t="s">
        <v>127</v>
      </c>
      <c r="Y308" t="s">
        <v>128</v>
      </c>
      <c r="Z308" t="s">
        <v>52</v>
      </c>
    </row>
  </sheetData>
  <sortState xmlns:xlrd2="http://schemas.microsoft.com/office/spreadsheetml/2017/richdata2" ref="A2:Z308">
    <sortCondition ref="A1:A30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1E43-2E07-4956-86E2-ACC4CF766082}">
  <dimension ref="A1:E308"/>
  <sheetViews>
    <sheetView workbookViewId="0">
      <selection activeCell="H13" sqref="H13"/>
    </sheetView>
  </sheetViews>
  <sheetFormatPr defaultRowHeight="14.4" x14ac:dyDescent="0.3"/>
  <cols>
    <col min="1" max="1" width="17.6640625" customWidth="1"/>
    <col min="4" max="4" width="19.21875" customWidth="1"/>
    <col min="5" max="5" width="12.21875" customWidth="1"/>
  </cols>
  <sheetData>
    <row r="1" spans="1:5" s="3" customFormat="1" x14ac:dyDescent="0.3">
      <c r="A1" s="3" t="s">
        <v>5</v>
      </c>
      <c r="B1" s="3" t="s">
        <v>756</v>
      </c>
      <c r="C1" s="3" t="s">
        <v>757</v>
      </c>
      <c r="D1" s="3" t="s">
        <v>758</v>
      </c>
      <c r="E1" s="3" t="s">
        <v>759</v>
      </c>
    </row>
    <row r="2" spans="1:5" x14ac:dyDescent="0.3">
      <c r="A2" s="2">
        <v>37676</v>
      </c>
      <c r="B2" t="str">
        <f>TEXT('sales_data_sample (2)'!F2,"MMM")</f>
        <v>Jan</v>
      </c>
      <c r="C2">
        <f>YEAR(A2)</f>
        <v>2003</v>
      </c>
      <c r="D2" t="str">
        <f>IF('sales_data_sample (2)'!E2&gt;5000,"High Sales","Low Sales")</f>
        <v>High Sales</v>
      </c>
      <c r="E2" t="str">
        <f>IF('sales_data_sample (2)'!C2&gt;=50,"Bulk Order","Normal Order")</f>
        <v>Bulk Order</v>
      </c>
    </row>
    <row r="3" spans="1:5" x14ac:dyDescent="0.3">
      <c r="A3" s="2">
        <v>37748</v>
      </c>
      <c r="B3" t="str">
        <f>TEXT('sales_data_sample (2)'!F3,"MMM")</f>
        <v>Jan</v>
      </c>
      <c r="C3">
        <f t="shared" ref="C3:C66" si="0">YEAR(A3)</f>
        <v>2003</v>
      </c>
      <c r="D3" t="str">
        <f>IF('sales_data_sample (2)'!E3&gt;5000,"High Sales","Low Sales")</f>
        <v>Low Sales</v>
      </c>
      <c r="E3" t="str">
        <f>IF('sales_data_sample (2)'!C3&gt;=50,"Bulk Order","Normal Order")</f>
        <v>Bulk Order</v>
      </c>
    </row>
    <row r="4" spans="1:5" x14ac:dyDescent="0.3">
      <c r="A4" s="2">
        <v>37803</v>
      </c>
      <c r="B4" t="str">
        <f>TEXT('sales_data_sample (2)'!F4,"MMM")</f>
        <v>Jan</v>
      </c>
      <c r="C4">
        <f t="shared" si="0"/>
        <v>2003</v>
      </c>
      <c r="D4" t="str">
        <f>IF('sales_data_sample (2)'!E4&gt;5000,"High Sales","Low Sales")</f>
        <v>Low Sales</v>
      </c>
      <c r="E4" t="str">
        <f>IF('sales_data_sample (2)'!C4&gt;=50,"Bulk Order","Normal Order")</f>
        <v>Bulk Order</v>
      </c>
    </row>
    <row r="5" spans="1:5" x14ac:dyDescent="0.3">
      <c r="A5" s="2">
        <v>37858</v>
      </c>
      <c r="B5" t="str">
        <f>TEXT('sales_data_sample (2)'!F5,"MMM")</f>
        <v>Jan</v>
      </c>
      <c r="C5">
        <f t="shared" si="0"/>
        <v>2003</v>
      </c>
      <c r="D5" t="str">
        <f>IF('sales_data_sample (2)'!E5&gt;5000,"High Sales","Low Sales")</f>
        <v>High Sales</v>
      </c>
      <c r="E5" t="str">
        <f>IF('sales_data_sample (2)'!C5&gt;=50,"Bulk Order","Normal Order")</f>
        <v>Bulk Order</v>
      </c>
    </row>
    <row r="6" spans="1:5" x14ac:dyDescent="0.3">
      <c r="A6" s="2">
        <v>37904</v>
      </c>
      <c r="B6" t="str">
        <f>TEXT('sales_data_sample (2)'!F6,"MMM")</f>
        <v>Jan</v>
      </c>
      <c r="C6">
        <f t="shared" si="0"/>
        <v>2003</v>
      </c>
      <c r="D6" t="str">
        <f>IF('sales_data_sample (2)'!E6&gt;5000,"High Sales","Low Sales")</f>
        <v>High Sales</v>
      </c>
      <c r="E6" t="str">
        <f>IF('sales_data_sample (2)'!C6&gt;=50,"Bulk Order","Normal Order")</f>
        <v>Bulk Order</v>
      </c>
    </row>
    <row r="7" spans="1:5" x14ac:dyDescent="0.3">
      <c r="A7" s="2">
        <v>37922</v>
      </c>
      <c r="B7" t="str">
        <f>TEXT('sales_data_sample (2)'!F7,"MMM")</f>
        <v>Feb</v>
      </c>
      <c r="C7">
        <f t="shared" si="0"/>
        <v>2003</v>
      </c>
      <c r="D7" t="str">
        <f>IF('sales_data_sample (2)'!E7&gt;5000,"High Sales","Low Sales")</f>
        <v>High Sales</v>
      </c>
      <c r="E7" t="str">
        <f>IF('sales_data_sample (2)'!C7&gt;=50,"Bulk Order","Normal Order")</f>
        <v>Bulk Order</v>
      </c>
    </row>
    <row r="8" spans="1:5" x14ac:dyDescent="0.3">
      <c r="A8" s="2">
        <v>37936</v>
      </c>
      <c r="B8" t="str">
        <f>TEXT('sales_data_sample (2)'!F8,"MMM")</f>
        <v>Feb</v>
      </c>
      <c r="C8">
        <f t="shared" si="0"/>
        <v>2003</v>
      </c>
      <c r="D8" t="str">
        <f>IF('sales_data_sample (2)'!E8&gt;5000,"High Sales","Low Sales")</f>
        <v>High Sales</v>
      </c>
      <c r="E8" t="str">
        <f>IF('sales_data_sample (2)'!C8&gt;=50,"Bulk Order","Normal Order")</f>
        <v>Bulk Order</v>
      </c>
    </row>
    <row r="9" spans="1:5" x14ac:dyDescent="0.3">
      <c r="A9" s="2">
        <v>37943</v>
      </c>
      <c r="B9" t="str">
        <f>TEXT('sales_data_sample (2)'!F9,"MMM")</f>
        <v>Feb</v>
      </c>
      <c r="C9">
        <f t="shared" si="0"/>
        <v>2003</v>
      </c>
      <c r="D9" t="str">
        <f>IF('sales_data_sample (2)'!E9&gt;5000,"High Sales","Low Sales")</f>
        <v>Low Sales</v>
      </c>
      <c r="E9" t="str">
        <f>IF('sales_data_sample (2)'!C9&gt;=50,"Bulk Order","Normal Order")</f>
        <v>Bulk Order</v>
      </c>
    </row>
    <row r="10" spans="1:5" x14ac:dyDescent="0.3">
      <c r="A10" s="2">
        <v>37956</v>
      </c>
      <c r="B10" t="str">
        <f>TEXT('sales_data_sample (2)'!F10,"MMM")</f>
        <v>Mar</v>
      </c>
      <c r="C10">
        <f t="shared" si="0"/>
        <v>2003</v>
      </c>
      <c r="D10" t="str">
        <f>IF('sales_data_sample (2)'!E10&gt;5000,"High Sales","Low Sales")</f>
        <v>High Sales</v>
      </c>
      <c r="E10" t="str">
        <f>IF('sales_data_sample (2)'!C10&gt;=50,"Bulk Order","Normal Order")</f>
        <v>Bulk Order</v>
      </c>
    </row>
    <row r="11" spans="1:5" x14ac:dyDescent="0.3">
      <c r="A11" s="2">
        <v>38001</v>
      </c>
      <c r="B11" t="str">
        <f>TEXT('sales_data_sample (2)'!F11,"MMM")</f>
        <v>Mar</v>
      </c>
      <c r="C11">
        <f t="shared" si="0"/>
        <v>2004</v>
      </c>
      <c r="D11" t="str">
        <f>IF('sales_data_sample (2)'!E11&gt;5000,"High Sales","Low Sales")</f>
        <v>Low Sales</v>
      </c>
      <c r="E11" t="str">
        <f>IF('sales_data_sample (2)'!C11&gt;=50,"Bulk Order","Normal Order")</f>
        <v>Bulk Order</v>
      </c>
    </row>
    <row r="12" spans="1:5" x14ac:dyDescent="0.3">
      <c r="A12" s="2">
        <v>38037</v>
      </c>
      <c r="B12" t="str">
        <f>TEXT('sales_data_sample (2)'!F12,"MMM")</f>
        <v>Mar</v>
      </c>
      <c r="C12">
        <f t="shared" si="0"/>
        <v>2004</v>
      </c>
      <c r="D12" t="str">
        <f>IF('sales_data_sample (2)'!E12&gt;5000,"High Sales","Low Sales")</f>
        <v>High Sales</v>
      </c>
      <c r="E12" t="str">
        <f>IF('sales_data_sample (2)'!C12&gt;=50,"Bulk Order","Normal Order")</f>
        <v>Bulk Order</v>
      </c>
    </row>
    <row r="13" spans="1:5" x14ac:dyDescent="0.3">
      <c r="A13" s="2">
        <v>38082</v>
      </c>
      <c r="B13" t="str">
        <f>TEXT('sales_data_sample (2)'!F13,"MMM")</f>
        <v>Mar</v>
      </c>
      <c r="C13">
        <f t="shared" si="0"/>
        <v>2004</v>
      </c>
      <c r="D13" t="str">
        <f>IF('sales_data_sample (2)'!E13&gt;5000,"High Sales","Low Sales")</f>
        <v>Low Sales</v>
      </c>
      <c r="E13" t="str">
        <f>IF('sales_data_sample (2)'!C13&gt;=50,"Bulk Order","Normal Order")</f>
        <v>Bulk Order</v>
      </c>
    </row>
    <row r="14" spans="1:5" x14ac:dyDescent="0.3">
      <c r="A14" s="2">
        <v>38125</v>
      </c>
      <c r="B14" t="str">
        <f>TEXT('sales_data_sample (2)'!F14,"MMM")</f>
        <v>Mar</v>
      </c>
      <c r="C14">
        <f t="shared" si="0"/>
        <v>2004</v>
      </c>
      <c r="D14" t="str">
        <f>IF('sales_data_sample (2)'!E14&gt;5000,"High Sales","Low Sales")</f>
        <v>High Sales</v>
      </c>
      <c r="E14" t="str">
        <f>IF('sales_data_sample (2)'!C14&gt;=50,"Bulk Order","Normal Order")</f>
        <v>Bulk Order</v>
      </c>
    </row>
    <row r="15" spans="1:5" x14ac:dyDescent="0.3">
      <c r="A15" s="2">
        <v>38166</v>
      </c>
      <c r="B15" t="str">
        <f>TEXT('sales_data_sample (2)'!F15,"MMM")</f>
        <v>Mar</v>
      </c>
      <c r="C15">
        <f t="shared" si="0"/>
        <v>2004</v>
      </c>
      <c r="D15" t="str">
        <f>IF('sales_data_sample (2)'!E15&gt;5000,"High Sales","Low Sales")</f>
        <v>Low Sales</v>
      </c>
      <c r="E15" t="str">
        <f>IF('sales_data_sample (2)'!C15&gt;=50,"Bulk Order","Normal Order")</f>
        <v>Bulk Order</v>
      </c>
    </row>
    <row r="16" spans="1:5" x14ac:dyDescent="0.3">
      <c r="A16" s="2">
        <v>38191</v>
      </c>
      <c r="B16" t="str">
        <f>TEXT('sales_data_sample (2)'!F16,"MMM")</f>
        <v>Apr</v>
      </c>
      <c r="C16">
        <f t="shared" si="0"/>
        <v>2004</v>
      </c>
      <c r="D16" t="str">
        <f>IF('sales_data_sample (2)'!E16&gt;5000,"High Sales","Low Sales")</f>
        <v>Low Sales</v>
      </c>
      <c r="E16" t="str">
        <f>IF('sales_data_sample (2)'!C16&gt;=50,"Bulk Order","Normal Order")</f>
        <v>Bulk Order</v>
      </c>
    </row>
    <row r="17" spans="1:5" x14ac:dyDescent="0.3">
      <c r="A17" s="2">
        <v>38226</v>
      </c>
      <c r="B17" t="str">
        <f>TEXT('sales_data_sample (2)'!F17,"MMM")</f>
        <v>Apr</v>
      </c>
      <c r="C17">
        <f t="shared" si="0"/>
        <v>2004</v>
      </c>
      <c r="D17" t="str">
        <f>IF('sales_data_sample (2)'!E17&gt;5000,"High Sales","Low Sales")</f>
        <v>High Sales</v>
      </c>
      <c r="E17" t="str">
        <f>IF('sales_data_sample (2)'!C17&gt;=50,"Bulk Order","Normal Order")</f>
        <v>Bulk Order</v>
      </c>
    </row>
    <row r="18" spans="1:5" x14ac:dyDescent="0.3">
      <c r="A18" s="2">
        <v>38260</v>
      </c>
      <c r="B18" t="str">
        <f>TEXT('sales_data_sample (2)'!F18,"MMM")</f>
        <v>Apr</v>
      </c>
      <c r="C18">
        <f t="shared" si="0"/>
        <v>2004</v>
      </c>
      <c r="D18" t="str">
        <f>IF('sales_data_sample (2)'!E18&gt;5000,"High Sales","Low Sales")</f>
        <v>Low Sales</v>
      </c>
      <c r="E18" t="str">
        <f>IF('sales_data_sample (2)'!C18&gt;=50,"Bulk Order","Normal Order")</f>
        <v>Bulk Order</v>
      </c>
    </row>
    <row r="19" spans="1:5" x14ac:dyDescent="0.3">
      <c r="A19" s="2">
        <v>38275</v>
      </c>
      <c r="B19" t="str">
        <f>TEXT('sales_data_sample (2)'!F19,"MMM")</f>
        <v>Apr</v>
      </c>
      <c r="C19">
        <f t="shared" si="0"/>
        <v>2004</v>
      </c>
      <c r="D19" t="str">
        <f>IF('sales_data_sample (2)'!E19&gt;5000,"High Sales","Low Sales")</f>
        <v>High Sales</v>
      </c>
      <c r="E19" t="str">
        <f>IF('sales_data_sample (2)'!C19&gt;=50,"Bulk Order","Normal Order")</f>
        <v>Bulk Order</v>
      </c>
    </row>
    <row r="20" spans="1:5" x14ac:dyDescent="0.3">
      <c r="A20" s="2">
        <v>38293</v>
      </c>
      <c r="B20" t="str">
        <f>TEXT('sales_data_sample (2)'!F20,"MMM")</f>
        <v>Apr</v>
      </c>
      <c r="C20">
        <f t="shared" si="0"/>
        <v>2004</v>
      </c>
      <c r="D20" t="str">
        <f>IF('sales_data_sample (2)'!E20&gt;5000,"High Sales","Low Sales")</f>
        <v>Low Sales</v>
      </c>
      <c r="E20" t="str">
        <f>IF('sales_data_sample (2)'!C20&gt;=50,"Bulk Order","Normal Order")</f>
        <v>Bulk Order</v>
      </c>
    </row>
    <row r="21" spans="1:5" x14ac:dyDescent="0.3">
      <c r="A21" s="2">
        <v>38306</v>
      </c>
      <c r="B21" t="str">
        <f>TEXT('sales_data_sample (2)'!F21,"MMM")</f>
        <v>Apr</v>
      </c>
      <c r="C21">
        <f t="shared" si="0"/>
        <v>2004</v>
      </c>
      <c r="D21" t="str">
        <f>IF('sales_data_sample (2)'!E21&gt;5000,"High Sales","Low Sales")</f>
        <v>High Sales</v>
      </c>
      <c r="E21" t="str">
        <f>IF('sales_data_sample (2)'!C21&gt;=50,"Bulk Order","Normal Order")</f>
        <v>Bulk Order</v>
      </c>
    </row>
    <row r="22" spans="1:5" x14ac:dyDescent="0.3">
      <c r="A22" s="2">
        <v>38315</v>
      </c>
      <c r="B22" t="str">
        <f>TEXT('sales_data_sample (2)'!F22,"MMM")</f>
        <v>Apr</v>
      </c>
      <c r="C22">
        <f t="shared" si="0"/>
        <v>2004</v>
      </c>
      <c r="D22" t="str">
        <f>IF('sales_data_sample (2)'!E22&gt;5000,"High Sales","Low Sales")</f>
        <v>Low Sales</v>
      </c>
      <c r="E22" t="str">
        <f>IF('sales_data_sample (2)'!C22&gt;=50,"Bulk Order","Normal Order")</f>
        <v>Bulk Order</v>
      </c>
    </row>
    <row r="23" spans="1:5" x14ac:dyDescent="0.3">
      <c r="A23" s="2">
        <v>38338</v>
      </c>
      <c r="B23" t="str">
        <f>TEXT('sales_data_sample (2)'!F23,"MMM")</f>
        <v>May</v>
      </c>
      <c r="C23">
        <f t="shared" si="0"/>
        <v>2004</v>
      </c>
      <c r="D23" t="str">
        <f>IF('sales_data_sample (2)'!E23&gt;5000,"High Sales","Low Sales")</f>
        <v>Low Sales</v>
      </c>
      <c r="E23" t="str">
        <f>IF('sales_data_sample (2)'!C23&gt;=50,"Bulk Order","Normal Order")</f>
        <v>Bulk Order</v>
      </c>
    </row>
    <row r="24" spans="1:5" x14ac:dyDescent="0.3">
      <c r="A24" s="2">
        <v>38386</v>
      </c>
      <c r="B24" t="str">
        <f>TEXT('sales_data_sample (2)'!F24,"MMM")</f>
        <v>May</v>
      </c>
      <c r="C24">
        <f t="shared" si="0"/>
        <v>2005</v>
      </c>
      <c r="D24" t="str">
        <f>IF('sales_data_sample (2)'!E24&gt;5000,"High Sales","Low Sales")</f>
        <v>High Sales</v>
      </c>
      <c r="E24" t="str">
        <f>IF('sales_data_sample (2)'!C24&gt;=50,"Bulk Order","Normal Order")</f>
        <v>Bulk Order</v>
      </c>
    </row>
    <row r="25" spans="1:5" x14ac:dyDescent="0.3">
      <c r="A25" s="2">
        <v>38414</v>
      </c>
      <c r="B25" t="str">
        <f>TEXT('sales_data_sample (2)'!F25,"MMM")</f>
        <v>May</v>
      </c>
      <c r="C25">
        <f t="shared" si="0"/>
        <v>2005</v>
      </c>
      <c r="D25" t="str">
        <f>IF('sales_data_sample (2)'!E25&gt;5000,"High Sales","Low Sales")</f>
        <v>Low Sales</v>
      </c>
      <c r="E25" t="str">
        <f>IF('sales_data_sample (2)'!C25&gt;=50,"Bulk Order","Normal Order")</f>
        <v>Bulk Order</v>
      </c>
    </row>
    <row r="26" spans="1:5" x14ac:dyDescent="0.3">
      <c r="A26" s="2">
        <v>38450</v>
      </c>
      <c r="B26" t="str">
        <f>TEXT('sales_data_sample (2)'!F26,"MMM")</f>
        <v>May</v>
      </c>
      <c r="C26">
        <f t="shared" si="0"/>
        <v>2005</v>
      </c>
      <c r="D26" t="str">
        <f>IF('sales_data_sample (2)'!E26&gt;5000,"High Sales","Low Sales")</f>
        <v>Low Sales</v>
      </c>
      <c r="E26" t="str">
        <f>IF('sales_data_sample (2)'!C26&gt;=50,"Bulk Order","Normal Order")</f>
        <v>Bulk Order</v>
      </c>
    </row>
    <row r="27" spans="1:5" x14ac:dyDescent="0.3">
      <c r="A27" s="2">
        <v>38485</v>
      </c>
      <c r="B27" t="str">
        <f>TEXT('sales_data_sample (2)'!F27,"MMM")</f>
        <v>May</v>
      </c>
      <c r="C27">
        <f t="shared" si="0"/>
        <v>2005</v>
      </c>
      <c r="D27" t="str">
        <f>IF('sales_data_sample (2)'!E27&gt;5000,"High Sales","Low Sales")</f>
        <v>Low Sales</v>
      </c>
      <c r="E27" t="str">
        <f>IF('sales_data_sample (2)'!C27&gt;=50,"Bulk Order","Normal Order")</f>
        <v>Bulk Order</v>
      </c>
    </row>
    <row r="28" spans="1:5" x14ac:dyDescent="0.3">
      <c r="A28" s="2">
        <v>37650</v>
      </c>
      <c r="B28" t="str">
        <f>TEXT('sales_data_sample (2)'!F28,"MMM")</f>
        <v>May</v>
      </c>
      <c r="C28">
        <f t="shared" si="0"/>
        <v>2003</v>
      </c>
      <c r="D28" t="str">
        <f>IF('sales_data_sample (2)'!E28&gt;5000,"High Sales","Low Sales")</f>
        <v>High Sales</v>
      </c>
      <c r="E28" t="str">
        <f>IF('sales_data_sample (2)'!C28&gt;=50,"Bulk Order","Normal Order")</f>
        <v>Bulk Order</v>
      </c>
    </row>
    <row r="29" spans="1:5" x14ac:dyDescent="0.3">
      <c r="A29" s="2">
        <v>37704</v>
      </c>
      <c r="B29" t="str">
        <f>TEXT('sales_data_sample (2)'!F29,"MMM")</f>
        <v>Jun</v>
      </c>
      <c r="C29">
        <f t="shared" si="0"/>
        <v>2003</v>
      </c>
      <c r="D29" t="str">
        <f>IF('sales_data_sample (2)'!E29&gt;5000,"High Sales","Low Sales")</f>
        <v>High Sales</v>
      </c>
      <c r="E29" t="str">
        <f>IF('sales_data_sample (2)'!C29&gt;=50,"Bulk Order","Normal Order")</f>
        <v>Bulk Order</v>
      </c>
    </row>
    <row r="30" spans="1:5" x14ac:dyDescent="0.3">
      <c r="A30" s="2">
        <v>37769</v>
      </c>
      <c r="B30" t="str">
        <f>TEXT('sales_data_sample (2)'!F30,"MMM")</f>
        <v>Jun</v>
      </c>
      <c r="C30">
        <f t="shared" si="0"/>
        <v>2003</v>
      </c>
      <c r="D30" t="str">
        <f>IF('sales_data_sample (2)'!E30&gt;5000,"High Sales","Low Sales")</f>
        <v>High Sales</v>
      </c>
      <c r="E30" t="str">
        <f>IF('sales_data_sample (2)'!C30&gt;=50,"Bulk Order","Normal Order")</f>
        <v>Bulk Order</v>
      </c>
    </row>
    <row r="31" spans="1:5" x14ac:dyDescent="0.3">
      <c r="A31" s="2">
        <v>37826</v>
      </c>
      <c r="B31" t="str">
        <f>TEXT('sales_data_sample (2)'!F31,"MMM")</f>
        <v>Jun</v>
      </c>
      <c r="C31">
        <f t="shared" si="0"/>
        <v>2003</v>
      </c>
      <c r="D31" t="str">
        <f>IF('sales_data_sample (2)'!E31&gt;5000,"High Sales","Low Sales")</f>
        <v>Low Sales</v>
      </c>
      <c r="E31" t="str">
        <f>IF('sales_data_sample (2)'!C31&gt;=50,"Bulk Order","Normal Order")</f>
        <v>Bulk Order</v>
      </c>
    </row>
    <row r="32" spans="1:5" x14ac:dyDescent="0.3">
      <c r="A32" s="2">
        <v>37883</v>
      </c>
      <c r="B32" t="str">
        <f>TEXT('sales_data_sample (2)'!F32,"MMM")</f>
        <v>Jun</v>
      </c>
      <c r="C32">
        <f t="shared" si="0"/>
        <v>2003</v>
      </c>
      <c r="D32" t="str">
        <f>IF('sales_data_sample (2)'!E32&gt;5000,"High Sales","Low Sales")</f>
        <v>Low Sales</v>
      </c>
      <c r="E32" t="str">
        <f>IF('sales_data_sample (2)'!C32&gt;=50,"Bulk Order","Normal Order")</f>
        <v>Bulk Order</v>
      </c>
    </row>
    <row r="33" spans="1:5" x14ac:dyDescent="0.3">
      <c r="A33" s="2">
        <v>37914</v>
      </c>
      <c r="B33" t="str">
        <f>TEXT('sales_data_sample (2)'!F33,"MMM")</f>
        <v>Jun</v>
      </c>
      <c r="C33">
        <f t="shared" si="0"/>
        <v>2003</v>
      </c>
      <c r="D33" t="str">
        <f>IF('sales_data_sample (2)'!E33&gt;5000,"High Sales","Low Sales")</f>
        <v>Low Sales</v>
      </c>
      <c r="E33" t="str">
        <f>IF('sales_data_sample (2)'!C33&gt;=50,"Bulk Order","Normal Order")</f>
        <v>Bulk Order</v>
      </c>
    </row>
    <row r="34" spans="1:5" x14ac:dyDescent="0.3">
      <c r="A34" s="2">
        <v>37931</v>
      </c>
      <c r="B34" t="str">
        <f>TEXT('sales_data_sample (2)'!F34,"MMM")</f>
        <v>Jun</v>
      </c>
      <c r="C34">
        <f t="shared" si="0"/>
        <v>2003</v>
      </c>
      <c r="D34" t="str">
        <f>IF('sales_data_sample (2)'!E34&gt;5000,"High Sales","Low Sales")</f>
        <v>Low Sales</v>
      </c>
      <c r="E34" t="str">
        <f>IF('sales_data_sample (2)'!C34&gt;=50,"Bulk Order","Normal Order")</f>
        <v>Bulk Order</v>
      </c>
    </row>
    <row r="35" spans="1:5" x14ac:dyDescent="0.3">
      <c r="A35" s="2">
        <v>37938</v>
      </c>
      <c r="B35" t="str">
        <f>TEXT('sales_data_sample (2)'!F35,"MMM")</f>
        <v>Jul</v>
      </c>
      <c r="C35">
        <f t="shared" si="0"/>
        <v>2003</v>
      </c>
      <c r="D35" t="str">
        <f>IF('sales_data_sample (2)'!E35&gt;5000,"High Sales","Low Sales")</f>
        <v>Low Sales</v>
      </c>
      <c r="E35" t="str">
        <f>IF('sales_data_sample (2)'!C35&gt;=50,"Bulk Order","Normal Order")</f>
        <v>Bulk Order</v>
      </c>
    </row>
    <row r="36" spans="1:5" x14ac:dyDescent="0.3">
      <c r="A36" s="2">
        <v>37950</v>
      </c>
      <c r="B36" t="str">
        <f>TEXT('sales_data_sample (2)'!F36,"MMM")</f>
        <v>Jul</v>
      </c>
      <c r="C36">
        <f t="shared" si="0"/>
        <v>2003</v>
      </c>
      <c r="D36" t="str">
        <f>IF('sales_data_sample (2)'!E36&gt;5000,"High Sales","Low Sales")</f>
        <v>High Sales</v>
      </c>
      <c r="E36" t="str">
        <f>IF('sales_data_sample (2)'!C36&gt;=50,"Bulk Order","Normal Order")</f>
        <v>Bulk Order</v>
      </c>
    </row>
    <row r="37" spans="1:5" x14ac:dyDescent="0.3">
      <c r="A37" s="2">
        <v>37960</v>
      </c>
      <c r="B37" t="str">
        <f>TEXT('sales_data_sample (2)'!F37,"MMM")</f>
        <v>Jul</v>
      </c>
      <c r="C37">
        <f t="shared" si="0"/>
        <v>2003</v>
      </c>
      <c r="D37" t="str">
        <f>IF('sales_data_sample (2)'!E37&gt;5000,"High Sales","Low Sales")</f>
        <v>Low Sales</v>
      </c>
      <c r="E37" t="str">
        <f>IF('sales_data_sample (2)'!C37&gt;=50,"Bulk Order","Normal Order")</f>
        <v>Bulk Order</v>
      </c>
    </row>
    <row r="38" spans="1:5" x14ac:dyDescent="0.3">
      <c r="A38" s="2">
        <v>38015</v>
      </c>
      <c r="B38" t="str">
        <f>TEXT('sales_data_sample (2)'!F38,"MMM")</f>
        <v>Jul</v>
      </c>
      <c r="C38">
        <f t="shared" si="0"/>
        <v>2004</v>
      </c>
      <c r="D38" t="str">
        <f>IF('sales_data_sample (2)'!E38&gt;5000,"High Sales","Low Sales")</f>
        <v>Low Sales</v>
      </c>
      <c r="E38" t="str">
        <f>IF('sales_data_sample (2)'!C38&gt;=50,"Bulk Order","Normal Order")</f>
        <v>Bulk Order</v>
      </c>
    </row>
    <row r="39" spans="1:5" x14ac:dyDescent="0.3">
      <c r="A39" s="2">
        <v>38056</v>
      </c>
      <c r="B39" t="str">
        <f>TEXT('sales_data_sample (2)'!F39,"MMM")</f>
        <v>Jul</v>
      </c>
      <c r="C39">
        <f t="shared" si="0"/>
        <v>2004</v>
      </c>
      <c r="D39" t="str">
        <f>IF('sales_data_sample (2)'!E39&gt;5000,"High Sales","Low Sales")</f>
        <v>Low Sales</v>
      </c>
      <c r="E39" t="str">
        <f>IF('sales_data_sample (2)'!C39&gt;=50,"Bulk Order","Normal Order")</f>
        <v>Bulk Order</v>
      </c>
    </row>
    <row r="40" spans="1:5" x14ac:dyDescent="0.3">
      <c r="A40" s="2">
        <v>38111</v>
      </c>
      <c r="B40" t="str">
        <f>TEXT('sales_data_sample (2)'!F40,"MMM")</f>
        <v>Jul</v>
      </c>
      <c r="C40">
        <f t="shared" si="0"/>
        <v>2004</v>
      </c>
      <c r="D40" t="str">
        <f>IF('sales_data_sample (2)'!E40&gt;5000,"High Sales","Low Sales")</f>
        <v>High Sales</v>
      </c>
      <c r="E40" t="str">
        <f>IF('sales_data_sample (2)'!C40&gt;=50,"Bulk Order","Normal Order")</f>
        <v>Bulk Order</v>
      </c>
    </row>
    <row r="41" spans="1:5" x14ac:dyDescent="0.3">
      <c r="A41" s="2">
        <v>38153</v>
      </c>
      <c r="B41" t="str">
        <f>TEXT('sales_data_sample (2)'!F41,"MMM")</f>
        <v>Aug</v>
      </c>
      <c r="C41">
        <f t="shared" si="0"/>
        <v>2004</v>
      </c>
      <c r="D41" t="str">
        <f>IF('sales_data_sample (2)'!E41&gt;5000,"High Sales","Low Sales")</f>
        <v>Low Sales</v>
      </c>
      <c r="E41" t="str">
        <f>IF('sales_data_sample (2)'!C41&gt;=50,"Bulk Order","Normal Order")</f>
        <v>Bulk Order</v>
      </c>
    </row>
    <row r="42" spans="1:5" x14ac:dyDescent="0.3">
      <c r="A42" s="2">
        <v>38187</v>
      </c>
      <c r="B42" t="str">
        <f>TEXT('sales_data_sample (2)'!F42,"MMM")</f>
        <v>Aug</v>
      </c>
      <c r="C42">
        <f t="shared" si="0"/>
        <v>2004</v>
      </c>
      <c r="D42" t="str">
        <f>IF('sales_data_sample (2)'!E42&gt;5000,"High Sales","Low Sales")</f>
        <v>High Sales</v>
      </c>
      <c r="E42" t="str">
        <f>IF('sales_data_sample (2)'!C42&gt;=50,"Bulk Order","Normal Order")</f>
        <v>Bulk Order</v>
      </c>
    </row>
    <row r="43" spans="1:5" x14ac:dyDescent="0.3">
      <c r="A43" s="2">
        <v>38216</v>
      </c>
      <c r="B43" t="str">
        <f>TEXT('sales_data_sample (2)'!F43,"MMM")</f>
        <v>Aug</v>
      </c>
      <c r="C43">
        <f t="shared" si="0"/>
        <v>2004</v>
      </c>
      <c r="D43" t="str">
        <f>IF('sales_data_sample (2)'!E43&gt;5000,"High Sales","Low Sales")</f>
        <v>High Sales</v>
      </c>
      <c r="E43" t="str">
        <f>IF('sales_data_sample (2)'!C43&gt;=50,"Bulk Order","Normal Order")</f>
        <v>Bulk Order</v>
      </c>
    </row>
    <row r="44" spans="1:5" x14ac:dyDescent="0.3">
      <c r="A44" s="2">
        <v>38238</v>
      </c>
      <c r="B44" t="str">
        <f>TEXT('sales_data_sample (2)'!F44,"MMM")</f>
        <v>Aug</v>
      </c>
      <c r="C44">
        <f t="shared" si="0"/>
        <v>2004</v>
      </c>
      <c r="D44" t="str">
        <f>IF('sales_data_sample (2)'!E44&gt;5000,"High Sales","Low Sales")</f>
        <v>Low Sales</v>
      </c>
      <c r="E44" t="str">
        <f>IF('sales_data_sample (2)'!C44&gt;=50,"Bulk Order","Normal Order")</f>
        <v>Bulk Order</v>
      </c>
    </row>
    <row r="45" spans="1:5" x14ac:dyDescent="0.3">
      <c r="A45" s="2">
        <v>38271</v>
      </c>
      <c r="B45" t="str">
        <f>TEXT('sales_data_sample (2)'!F45,"MMM")</f>
        <v>Aug</v>
      </c>
      <c r="C45">
        <f t="shared" si="0"/>
        <v>2004</v>
      </c>
      <c r="D45" t="str">
        <f>IF('sales_data_sample (2)'!E45&gt;5000,"High Sales","Low Sales")</f>
        <v>Low Sales</v>
      </c>
      <c r="E45" t="str">
        <f>IF('sales_data_sample (2)'!C45&gt;=50,"Bulk Order","Normal Order")</f>
        <v>Bulk Order</v>
      </c>
    </row>
    <row r="46" spans="1:5" x14ac:dyDescent="0.3">
      <c r="A46" s="2">
        <v>38281</v>
      </c>
      <c r="B46" t="str">
        <f>TEXT('sales_data_sample (2)'!F46,"MMM")</f>
        <v>Sep</v>
      </c>
      <c r="C46">
        <f t="shared" si="0"/>
        <v>2004</v>
      </c>
      <c r="D46" t="str">
        <f>IF('sales_data_sample (2)'!E46&gt;5000,"High Sales","Low Sales")</f>
        <v>Low Sales</v>
      </c>
      <c r="E46" t="str">
        <f>IF('sales_data_sample (2)'!C46&gt;=50,"Bulk Order","Normal Order")</f>
        <v>Bulk Order</v>
      </c>
    </row>
    <row r="47" spans="1:5" x14ac:dyDescent="0.3">
      <c r="A47" s="2">
        <v>38295</v>
      </c>
      <c r="B47" t="str">
        <f>TEXT('sales_data_sample (2)'!F47,"MMM")</f>
        <v>Sep</v>
      </c>
      <c r="C47">
        <f t="shared" si="0"/>
        <v>2004</v>
      </c>
      <c r="D47" t="str">
        <f>IF('sales_data_sample (2)'!E47&gt;5000,"High Sales","Low Sales")</f>
        <v>High Sales</v>
      </c>
      <c r="E47" t="str">
        <f>IF('sales_data_sample (2)'!C47&gt;=50,"Bulk Order","Normal Order")</f>
        <v>Bulk Order</v>
      </c>
    </row>
    <row r="48" spans="1:5" x14ac:dyDescent="0.3">
      <c r="A48" s="2">
        <v>38309</v>
      </c>
      <c r="B48" t="str">
        <f>TEXT('sales_data_sample (2)'!F48,"MMM")</f>
        <v>Sep</v>
      </c>
      <c r="C48">
        <f t="shared" si="0"/>
        <v>2004</v>
      </c>
      <c r="D48" t="str">
        <f>IF('sales_data_sample (2)'!E48&gt;5000,"High Sales","Low Sales")</f>
        <v>Low Sales</v>
      </c>
      <c r="E48" t="str">
        <f>IF('sales_data_sample (2)'!C48&gt;=50,"Bulk Order","Normal Order")</f>
        <v>Bulk Order</v>
      </c>
    </row>
    <row r="49" spans="1:5" x14ac:dyDescent="0.3">
      <c r="A49" s="2">
        <v>38320</v>
      </c>
      <c r="B49" t="str">
        <f>TEXT('sales_data_sample (2)'!F49,"MMM")</f>
        <v>Sep</v>
      </c>
      <c r="C49">
        <f t="shared" si="0"/>
        <v>2004</v>
      </c>
      <c r="D49" t="str">
        <f>IF('sales_data_sample (2)'!E49&gt;5000,"High Sales","Low Sales")</f>
        <v>High Sales</v>
      </c>
      <c r="E49" t="str">
        <f>IF('sales_data_sample (2)'!C49&gt;=50,"Bulk Order","Normal Order")</f>
        <v>Bulk Order</v>
      </c>
    </row>
    <row r="50" spans="1:5" x14ac:dyDescent="0.3">
      <c r="A50" s="2">
        <v>38331</v>
      </c>
      <c r="B50" t="str">
        <f>TEXT('sales_data_sample (2)'!F50,"MMM")</f>
        <v>Sep</v>
      </c>
      <c r="C50">
        <f t="shared" si="0"/>
        <v>2004</v>
      </c>
      <c r="D50" t="str">
        <f>IF('sales_data_sample (2)'!E50&gt;5000,"High Sales","Low Sales")</f>
        <v>High Sales</v>
      </c>
      <c r="E50" t="str">
        <f>IF('sales_data_sample (2)'!C50&gt;=50,"Bulk Order","Normal Order")</f>
        <v>Bulk Order</v>
      </c>
    </row>
    <row r="51" spans="1:5" x14ac:dyDescent="0.3">
      <c r="A51" s="2">
        <v>38372</v>
      </c>
      <c r="B51" t="str">
        <f>TEXT('sales_data_sample (2)'!F51,"MMM")</f>
        <v>Sep</v>
      </c>
      <c r="C51">
        <f t="shared" si="0"/>
        <v>2005</v>
      </c>
      <c r="D51" t="str">
        <f>IF('sales_data_sample (2)'!E51&gt;5000,"High Sales","Low Sales")</f>
        <v>Low Sales</v>
      </c>
      <c r="E51" t="str">
        <f>IF('sales_data_sample (2)'!C51&gt;=50,"Bulk Order","Normal Order")</f>
        <v>Bulk Order</v>
      </c>
    </row>
    <row r="52" spans="1:5" x14ac:dyDescent="0.3">
      <c r="A52" s="2">
        <v>38400</v>
      </c>
      <c r="B52" t="str">
        <f>TEXT('sales_data_sample (2)'!F52,"MMM")</f>
        <v>Sep</v>
      </c>
      <c r="C52">
        <f t="shared" si="0"/>
        <v>2005</v>
      </c>
      <c r="D52" t="str">
        <f>IF('sales_data_sample (2)'!E52&gt;5000,"High Sales","Low Sales")</f>
        <v>Low Sales</v>
      </c>
      <c r="E52" t="str">
        <f>IF('sales_data_sample (2)'!C52&gt;=50,"Bulk Order","Normal Order")</f>
        <v>Bulk Order</v>
      </c>
    </row>
    <row r="53" spans="1:5" x14ac:dyDescent="0.3">
      <c r="A53" s="2">
        <v>38420</v>
      </c>
      <c r="B53" t="str">
        <f>TEXT('sales_data_sample (2)'!F53,"MMM")</f>
        <v>Sep</v>
      </c>
      <c r="C53">
        <f t="shared" si="0"/>
        <v>2005</v>
      </c>
      <c r="D53" t="str">
        <f>IF('sales_data_sample (2)'!E53&gt;5000,"High Sales","Low Sales")</f>
        <v>Low Sales</v>
      </c>
      <c r="E53" t="str">
        <f>IF('sales_data_sample (2)'!C53&gt;=50,"Bulk Order","Normal Order")</f>
        <v>Bulk Order</v>
      </c>
    </row>
    <row r="54" spans="1:5" x14ac:dyDescent="0.3">
      <c r="A54" s="2">
        <v>38473</v>
      </c>
      <c r="B54" t="str">
        <f>TEXT('sales_data_sample (2)'!F54,"MMM")</f>
        <v>Oct</v>
      </c>
      <c r="C54">
        <f t="shared" si="0"/>
        <v>2005</v>
      </c>
      <c r="D54" t="str">
        <f>IF('sales_data_sample (2)'!E54&gt;5000,"High Sales","Low Sales")</f>
        <v>Low Sales</v>
      </c>
      <c r="E54" t="str">
        <f>IF('sales_data_sample (2)'!C54&gt;=50,"Bulk Order","Normal Order")</f>
        <v>Bulk Order</v>
      </c>
    </row>
    <row r="55" spans="1:5" x14ac:dyDescent="0.3">
      <c r="A55" s="2">
        <v>38503</v>
      </c>
      <c r="B55" t="str">
        <f>TEXT('sales_data_sample (2)'!F55,"MMM")</f>
        <v>Oct</v>
      </c>
      <c r="C55">
        <f t="shared" si="0"/>
        <v>2005</v>
      </c>
      <c r="D55" t="str">
        <f>IF('sales_data_sample (2)'!E55&gt;5000,"High Sales","Low Sales")</f>
        <v>Low Sales</v>
      </c>
      <c r="E55" t="str">
        <f>IF('sales_data_sample (2)'!C55&gt;=50,"Bulk Order","Normal Order")</f>
        <v>Bulk Order</v>
      </c>
    </row>
    <row r="56" spans="1:5" x14ac:dyDescent="0.3">
      <c r="A56" s="2">
        <v>37740</v>
      </c>
      <c r="B56" t="str">
        <f>TEXT('sales_data_sample (2)'!F56,"MMM")</f>
        <v>Oct</v>
      </c>
      <c r="C56">
        <f t="shared" si="0"/>
        <v>2003</v>
      </c>
      <c r="D56" t="str">
        <f>IF('sales_data_sample (2)'!E56&gt;5000,"High Sales","Low Sales")</f>
        <v>Low Sales</v>
      </c>
      <c r="E56" t="str">
        <f>IF('sales_data_sample (2)'!C56&gt;=50,"Bulk Order","Normal Order")</f>
        <v>Normal Order</v>
      </c>
    </row>
    <row r="57" spans="1:5" x14ac:dyDescent="0.3">
      <c r="A57" s="2">
        <v>37998</v>
      </c>
      <c r="B57" t="str">
        <f>TEXT('sales_data_sample (2)'!F57,"MMM")</f>
        <v>Oct</v>
      </c>
      <c r="C57">
        <f t="shared" si="0"/>
        <v>2004</v>
      </c>
      <c r="D57" t="str">
        <f>IF('sales_data_sample (2)'!E57&gt;5000,"High Sales","Low Sales")</f>
        <v>Low Sales</v>
      </c>
      <c r="E57" t="str">
        <f>IF('sales_data_sample (2)'!C57&gt;=50,"Bulk Order","Normal Order")</f>
        <v>Bulk Order</v>
      </c>
    </row>
    <row r="58" spans="1:5" x14ac:dyDescent="0.3">
      <c r="A58" s="2">
        <v>38080</v>
      </c>
      <c r="B58" t="str">
        <f>TEXT('sales_data_sample (2)'!F58,"MMM")</f>
        <v>Oct</v>
      </c>
      <c r="C58">
        <f t="shared" si="0"/>
        <v>2004</v>
      </c>
      <c r="D58" t="str">
        <f>IF('sales_data_sample (2)'!E58&gt;5000,"High Sales","Low Sales")</f>
        <v>High Sales</v>
      </c>
      <c r="E58" t="str">
        <f>IF('sales_data_sample (2)'!C58&gt;=50,"Bulk Order","Normal Order")</f>
        <v>Bulk Order</v>
      </c>
    </row>
    <row r="59" spans="1:5" x14ac:dyDescent="0.3">
      <c r="A59" s="2">
        <v>38257</v>
      </c>
      <c r="B59" t="str">
        <f>TEXT('sales_data_sample (2)'!F59,"MMM")</f>
        <v>Oct</v>
      </c>
      <c r="C59">
        <f t="shared" si="0"/>
        <v>2004</v>
      </c>
      <c r="D59" t="str">
        <f>IF('sales_data_sample (2)'!E59&gt;5000,"High Sales","Low Sales")</f>
        <v>High Sales</v>
      </c>
      <c r="E59" t="str">
        <f>IF('sales_data_sample (2)'!C59&gt;=50,"Bulk Order","Normal Order")</f>
        <v>Bulk Order</v>
      </c>
    </row>
    <row r="60" spans="1:5" x14ac:dyDescent="0.3">
      <c r="A60" s="2">
        <v>38275</v>
      </c>
      <c r="B60" t="str">
        <f>TEXT('sales_data_sample (2)'!F60,"MMM")</f>
        <v>Oct</v>
      </c>
      <c r="C60">
        <f t="shared" si="0"/>
        <v>2004</v>
      </c>
      <c r="D60" t="str">
        <f>IF('sales_data_sample (2)'!E60&gt;5000,"High Sales","Low Sales")</f>
        <v>Low Sales</v>
      </c>
      <c r="E60" t="str">
        <f>IF('sales_data_sample (2)'!C60&gt;=50,"Bulk Order","Normal Order")</f>
        <v>Bulk Order</v>
      </c>
    </row>
    <row r="61" spans="1:5" x14ac:dyDescent="0.3">
      <c r="A61" s="2">
        <v>38314</v>
      </c>
      <c r="B61" t="str">
        <f>TEXT('sales_data_sample (2)'!F61,"MMM")</f>
        <v>Oct</v>
      </c>
      <c r="C61">
        <f t="shared" si="0"/>
        <v>2004</v>
      </c>
      <c r="D61" t="str">
        <f>IF('sales_data_sample (2)'!E61&gt;5000,"High Sales","Low Sales")</f>
        <v>Low Sales</v>
      </c>
      <c r="E61" t="str">
        <f>IF('sales_data_sample (2)'!C61&gt;=50,"Bulk Order","Normal Order")</f>
        <v>Bulk Order</v>
      </c>
    </row>
    <row r="62" spans="1:5" x14ac:dyDescent="0.3">
      <c r="A62" s="2">
        <v>38385</v>
      </c>
      <c r="B62" t="str">
        <f>TEXT('sales_data_sample (2)'!F62,"MMM")</f>
        <v>Oct</v>
      </c>
      <c r="C62">
        <f t="shared" si="0"/>
        <v>2005</v>
      </c>
      <c r="D62" t="str">
        <f>IF('sales_data_sample (2)'!E62&gt;5000,"High Sales","Low Sales")</f>
        <v>Low Sales</v>
      </c>
      <c r="E62" t="str">
        <f>IF('sales_data_sample (2)'!C62&gt;=50,"Bulk Order","Normal Order")</f>
        <v>Bulk Order</v>
      </c>
    </row>
    <row r="63" spans="1:5" x14ac:dyDescent="0.3">
      <c r="A63" s="2">
        <v>38449</v>
      </c>
      <c r="B63" t="str">
        <f>TEXT('sales_data_sample (2)'!F63,"MMM")</f>
        <v>Oct</v>
      </c>
      <c r="C63">
        <f t="shared" si="0"/>
        <v>2005</v>
      </c>
      <c r="D63" t="str">
        <f>IF('sales_data_sample (2)'!E63&gt;5000,"High Sales","Low Sales")</f>
        <v>Low Sales</v>
      </c>
      <c r="E63" t="str">
        <f>IF('sales_data_sample (2)'!C63&gt;=50,"Bulk Order","Normal Order")</f>
        <v>Bulk Order</v>
      </c>
    </row>
    <row r="64" spans="1:5" x14ac:dyDescent="0.3">
      <c r="A64" s="2">
        <v>38357</v>
      </c>
      <c r="B64" t="str">
        <f>TEXT('sales_data_sample (2)'!F64,"MMM")</f>
        <v>Oct</v>
      </c>
      <c r="C64">
        <f t="shared" si="0"/>
        <v>2005</v>
      </c>
      <c r="D64" t="str">
        <f>IF('sales_data_sample (2)'!E64&gt;5000,"High Sales","Low Sales")</f>
        <v>High Sales</v>
      </c>
      <c r="E64" t="str">
        <f>IF('sales_data_sample (2)'!C64&gt;=50,"Bulk Order","Normal Order")</f>
        <v>Bulk Order</v>
      </c>
    </row>
    <row r="65" spans="1:5" x14ac:dyDescent="0.3">
      <c r="A65" s="2">
        <v>37663</v>
      </c>
      <c r="B65" t="str">
        <f>TEXT('sales_data_sample (2)'!F65,"MMM")</f>
        <v>Oct</v>
      </c>
      <c r="C65">
        <f t="shared" si="0"/>
        <v>2003</v>
      </c>
      <c r="D65" t="str">
        <f>IF('sales_data_sample (2)'!E65&gt;5000,"High Sales","Low Sales")</f>
        <v>High Sales</v>
      </c>
      <c r="E65" t="str">
        <f>IF('sales_data_sample (2)'!C65&gt;=50,"Bulk Order","Normal Order")</f>
        <v>Bulk Order</v>
      </c>
    </row>
    <row r="66" spans="1:5" x14ac:dyDescent="0.3">
      <c r="A66" s="2">
        <v>37739</v>
      </c>
      <c r="B66" t="str">
        <f>TEXT('sales_data_sample (2)'!F66,"MMM")</f>
        <v>Oct</v>
      </c>
      <c r="C66">
        <f t="shared" si="0"/>
        <v>2003</v>
      </c>
      <c r="D66" t="str">
        <f>IF('sales_data_sample (2)'!E66&gt;5000,"High Sales","Low Sales")</f>
        <v>High Sales</v>
      </c>
      <c r="E66" t="str">
        <f>IF('sales_data_sample (2)'!C66&gt;=50,"Bulk Order","Normal Order")</f>
        <v>Bulk Order</v>
      </c>
    </row>
    <row r="67" spans="1:5" x14ac:dyDescent="0.3">
      <c r="A67" s="2">
        <v>37784</v>
      </c>
      <c r="B67" t="str">
        <f>TEXT('sales_data_sample (2)'!F67,"MMM")</f>
        <v>Oct</v>
      </c>
      <c r="C67">
        <f t="shared" ref="C67:C130" si="1">YEAR(A67)</f>
        <v>2003</v>
      </c>
      <c r="D67" t="str">
        <f>IF('sales_data_sample (2)'!E67&gt;5000,"High Sales","Low Sales")</f>
        <v>Low Sales</v>
      </c>
      <c r="E67" t="str">
        <f>IF('sales_data_sample (2)'!C67&gt;=50,"Bulk Order","Normal Order")</f>
        <v>Bulk Order</v>
      </c>
    </row>
    <row r="68" spans="1:5" x14ac:dyDescent="0.3">
      <c r="A68" s="2">
        <v>37843</v>
      </c>
      <c r="B68" t="str">
        <f>TEXT('sales_data_sample (2)'!F68,"MMM")</f>
        <v>Nov</v>
      </c>
      <c r="C68">
        <f t="shared" si="1"/>
        <v>2003</v>
      </c>
      <c r="D68" t="str">
        <f>IF('sales_data_sample (2)'!E68&gt;5000,"High Sales","Low Sales")</f>
        <v>High Sales</v>
      </c>
      <c r="E68" t="str">
        <f>IF('sales_data_sample (2)'!C68&gt;=50,"Bulk Order","Normal Order")</f>
        <v>Bulk Order</v>
      </c>
    </row>
    <row r="69" spans="1:5" x14ac:dyDescent="0.3">
      <c r="A69" s="2">
        <v>37900</v>
      </c>
      <c r="B69" t="str">
        <f>TEXT('sales_data_sample (2)'!F69,"MMM")</f>
        <v>Nov</v>
      </c>
      <c r="C69">
        <f t="shared" si="1"/>
        <v>2003</v>
      </c>
      <c r="D69" t="str">
        <f>IF('sales_data_sample (2)'!E69&gt;5000,"High Sales","Low Sales")</f>
        <v>High Sales</v>
      </c>
      <c r="E69" t="str">
        <f>IF('sales_data_sample (2)'!C69&gt;=50,"Bulk Order","Normal Order")</f>
        <v>Bulk Order</v>
      </c>
    </row>
    <row r="70" spans="1:5" x14ac:dyDescent="0.3">
      <c r="A70" s="2">
        <v>37917</v>
      </c>
      <c r="B70" t="str">
        <f>TEXT('sales_data_sample (2)'!F70,"MMM")</f>
        <v>Nov</v>
      </c>
      <c r="C70">
        <f t="shared" si="1"/>
        <v>2003</v>
      </c>
      <c r="D70" t="str">
        <f>IF('sales_data_sample (2)'!E70&gt;5000,"High Sales","Low Sales")</f>
        <v>Low Sales</v>
      </c>
      <c r="E70" t="str">
        <f>IF('sales_data_sample (2)'!C70&gt;=50,"Bulk Order","Normal Order")</f>
        <v>Bulk Order</v>
      </c>
    </row>
    <row r="71" spans="1:5" x14ac:dyDescent="0.3">
      <c r="A71" s="2">
        <v>37933</v>
      </c>
      <c r="B71" t="str">
        <f>TEXT('sales_data_sample (2)'!F71,"MMM")</f>
        <v>Nov</v>
      </c>
      <c r="C71">
        <f t="shared" si="1"/>
        <v>2003</v>
      </c>
      <c r="D71" t="str">
        <f>IF('sales_data_sample (2)'!E71&gt;5000,"High Sales","Low Sales")</f>
        <v>Low Sales</v>
      </c>
      <c r="E71" t="str">
        <f>IF('sales_data_sample (2)'!C71&gt;=50,"Bulk Order","Normal Order")</f>
        <v>Bulk Order</v>
      </c>
    </row>
    <row r="72" spans="1:5" x14ac:dyDescent="0.3">
      <c r="A72" s="2">
        <v>37939</v>
      </c>
      <c r="B72" t="str">
        <f>TEXT('sales_data_sample (2)'!F72,"MMM")</f>
        <v>Nov</v>
      </c>
      <c r="C72">
        <f t="shared" si="1"/>
        <v>2003</v>
      </c>
      <c r="D72" t="str">
        <f>IF('sales_data_sample (2)'!E72&gt;5000,"High Sales","Low Sales")</f>
        <v>High Sales</v>
      </c>
      <c r="E72" t="str">
        <f>IF('sales_data_sample (2)'!C72&gt;=50,"Bulk Order","Normal Order")</f>
        <v>Bulk Order</v>
      </c>
    </row>
    <row r="73" spans="1:5" x14ac:dyDescent="0.3">
      <c r="A73" s="2">
        <v>37951</v>
      </c>
      <c r="B73" t="str">
        <f>TEXT('sales_data_sample (2)'!F73,"MMM")</f>
        <v>Nov</v>
      </c>
      <c r="C73">
        <f t="shared" si="1"/>
        <v>2003</v>
      </c>
      <c r="D73" t="str">
        <f>IF('sales_data_sample (2)'!E73&gt;5000,"High Sales","Low Sales")</f>
        <v>High Sales</v>
      </c>
      <c r="E73" t="str">
        <f>IF('sales_data_sample (2)'!C73&gt;=50,"Bulk Order","Normal Order")</f>
        <v>Bulk Order</v>
      </c>
    </row>
    <row r="74" spans="1:5" x14ac:dyDescent="0.3">
      <c r="A74" s="2">
        <v>37995</v>
      </c>
      <c r="B74" t="str">
        <f>TEXT('sales_data_sample (2)'!F74,"MMM")</f>
        <v>Nov</v>
      </c>
      <c r="C74">
        <f t="shared" si="1"/>
        <v>2004</v>
      </c>
      <c r="D74" t="str">
        <f>IF('sales_data_sample (2)'!E74&gt;5000,"High Sales","Low Sales")</f>
        <v>High Sales</v>
      </c>
      <c r="E74" t="str">
        <f>IF('sales_data_sample (2)'!C74&gt;=50,"Bulk Order","Normal Order")</f>
        <v>Bulk Order</v>
      </c>
    </row>
    <row r="75" spans="1:5" x14ac:dyDescent="0.3">
      <c r="A75" s="2">
        <v>38036</v>
      </c>
      <c r="B75" t="str">
        <f>TEXT('sales_data_sample (2)'!F75,"MMM")</f>
        <v>Nov</v>
      </c>
      <c r="C75">
        <f t="shared" si="1"/>
        <v>2004</v>
      </c>
      <c r="D75" t="str">
        <f>IF('sales_data_sample (2)'!E75&gt;5000,"High Sales","Low Sales")</f>
        <v>High Sales</v>
      </c>
      <c r="E75" t="str">
        <f>IF('sales_data_sample (2)'!C75&gt;=50,"Bulk Order","Normal Order")</f>
        <v>Bulk Order</v>
      </c>
    </row>
    <row r="76" spans="1:5" x14ac:dyDescent="0.3">
      <c r="A76" s="2">
        <v>38114</v>
      </c>
      <c r="B76" t="str">
        <f>TEXT('sales_data_sample (2)'!F76,"MMM")</f>
        <v>Nov</v>
      </c>
      <c r="C76">
        <f t="shared" si="1"/>
        <v>2004</v>
      </c>
      <c r="D76" t="str">
        <f>IF('sales_data_sample (2)'!E76&gt;5000,"High Sales","Low Sales")</f>
        <v>Low Sales</v>
      </c>
      <c r="E76" t="str">
        <f>IF('sales_data_sample (2)'!C76&gt;=50,"Bulk Order","Normal Order")</f>
        <v>Bulk Order</v>
      </c>
    </row>
    <row r="77" spans="1:5" x14ac:dyDescent="0.3">
      <c r="A77" s="2">
        <v>38155</v>
      </c>
      <c r="B77" t="str">
        <f>TEXT('sales_data_sample (2)'!F77,"MMM")</f>
        <v>Nov</v>
      </c>
      <c r="C77">
        <f t="shared" si="1"/>
        <v>2004</v>
      </c>
      <c r="D77" t="str">
        <f>IF('sales_data_sample (2)'!E77&gt;5000,"High Sales","Low Sales")</f>
        <v>Low Sales</v>
      </c>
      <c r="E77" t="str">
        <f>IF('sales_data_sample (2)'!C77&gt;=50,"Bulk Order","Normal Order")</f>
        <v>Bulk Order</v>
      </c>
    </row>
    <row r="78" spans="1:5" x14ac:dyDescent="0.3">
      <c r="A78" s="2">
        <v>38189</v>
      </c>
      <c r="B78" t="str">
        <f>TEXT('sales_data_sample (2)'!F78,"MMM")</f>
        <v>Nov</v>
      </c>
      <c r="C78">
        <f t="shared" si="1"/>
        <v>2004</v>
      </c>
      <c r="D78" t="str">
        <f>IF('sales_data_sample (2)'!E78&gt;5000,"High Sales","Low Sales")</f>
        <v>Low Sales</v>
      </c>
      <c r="E78" t="str">
        <f>IF('sales_data_sample (2)'!C78&gt;=50,"Bulk Order","Normal Order")</f>
        <v>Bulk Order</v>
      </c>
    </row>
    <row r="79" spans="1:5" x14ac:dyDescent="0.3">
      <c r="A79" s="2">
        <v>38219</v>
      </c>
      <c r="B79" t="str">
        <f>TEXT('sales_data_sample (2)'!F79,"MMM")</f>
        <v>Nov</v>
      </c>
      <c r="C79">
        <f t="shared" si="1"/>
        <v>2004</v>
      </c>
      <c r="D79" t="str">
        <f>IF('sales_data_sample (2)'!E79&gt;5000,"High Sales","Low Sales")</f>
        <v>High Sales</v>
      </c>
      <c r="E79" t="str">
        <f>IF('sales_data_sample (2)'!C79&gt;=50,"Bulk Order","Normal Order")</f>
        <v>Bulk Order</v>
      </c>
    </row>
    <row r="80" spans="1:5" x14ac:dyDescent="0.3">
      <c r="A80" s="2">
        <v>38240</v>
      </c>
      <c r="B80" t="str">
        <f>TEXT('sales_data_sample (2)'!F80,"MMM")</f>
        <v>Nov</v>
      </c>
      <c r="C80">
        <f t="shared" si="1"/>
        <v>2004</v>
      </c>
      <c r="D80" t="str">
        <f>IF('sales_data_sample (2)'!E80&gt;5000,"High Sales","Low Sales")</f>
        <v>Low Sales</v>
      </c>
      <c r="E80" t="str">
        <f>IF('sales_data_sample (2)'!C80&gt;=50,"Bulk Order","Normal Order")</f>
        <v>Bulk Order</v>
      </c>
    </row>
    <row r="81" spans="1:5" x14ac:dyDescent="0.3">
      <c r="A81" s="2">
        <v>38274</v>
      </c>
      <c r="B81" t="str">
        <f>TEXT('sales_data_sample (2)'!F81,"MMM")</f>
        <v>Nov</v>
      </c>
      <c r="C81">
        <f t="shared" si="1"/>
        <v>2004</v>
      </c>
      <c r="D81" t="str">
        <f>IF('sales_data_sample (2)'!E81&gt;5000,"High Sales","Low Sales")</f>
        <v>High Sales</v>
      </c>
      <c r="E81" t="str">
        <f>IF('sales_data_sample (2)'!C81&gt;=50,"Bulk Order","Normal Order")</f>
        <v>Bulk Order</v>
      </c>
    </row>
    <row r="82" spans="1:5" x14ac:dyDescent="0.3">
      <c r="A82" s="2">
        <v>38292</v>
      </c>
      <c r="B82" t="str">
        <f>TEXT('sales_data_sample (2)'!F82,"MMM")</f>
        <v>Nov</v>
      </c>
      <c r="C82">
        <f t="shared" si="1"/>
        <v>2004</v>
      </c>
      <c r="D82" t="str">
        <f>IF('sales_data_sample (2)'!E82&gt;5000,"High Sales","Low Sales")</f>
        <v>Low Sales</v>
      </c>
      <c r="E82" t="str">
        <f>IF('sales_data_sample (2)'!C82&gt;=50,"Bulk Order","Normal Order")</f>
        <v>Bulk Order</v>
      </c>
    </row>
    <row r="83" spans="1:5" x14ac:dyDescent="0.3">
      <c r="A83" s="2">
        <v>38296</v>
      </c>
      <c r="B83" t="str">
        <f>TEXT('sales_data_sample (2)'!F83,"MMM")</f>
        <v>Nov</v>
      </c>
      <c r="C83">
        <f t="shared" si="1"/>
        <v>2004</v>
      </c>
      <c r="D83" t="str">
        <f>IF('sales_data_sample (2)'!E83&gt;5000,"High Sales","Low Sales")</f>
        <v>Low Sales</v>
      </c>
      <c r="E83" t="str">
        <f>IF('sales_data_sample (2)'!C83&gt;=50,"Bulk Order","Normal Order")</f>
        <v>Bulk Order</v>
      </c>
    </row>
    <row r="84" spans="1:5" x14ac:dyDescent="0.3">
      <c r="A84" s="2">
        <v>38312</v>
      </c>
      <c r="B84" t="str">
        <f>TEXT('sales_data_sample (2)'!F84,"MMM")</f>
        <v>Nov</v>
      </c>
      <c r="C84">
        <f t="shared" si="1"/>
        <v>2004</v>
      </c>
      <c r="D84" t="str">
        <f>IF('sales_data_sample (2)'!E84&gt;5000,"High Sales","Low Sales")</f>
        <v>Low Sales</v>
      </c>
      <c r="E84" t="str">
        <f>IF('sales_data_sample (2)'!C84&gt;=50,"Bulk Order","Normal Order")</f>
        <v>Bulk Order</v>
      </c>
    </row>
    <row r="85" spans="1:5" x14ac:dyDescent="0.3">
      <c r="A85" s="2">
        <v>38323</v>
      </c>
      <c r="B85" t="str">
        <f>TEXT('sales_data_sample (2)'!F85,"MMM")</f>
        <v>Nov</v>
      </c>
      <c r="C85">
        <f t="shared" si="1"/>
        <v>2004</v>
      </c>
      <c r="D85" t="str">
        <f>IF('sales_data_sample (2)'!E85&gt;5000,"High Sales","Low Sales")</f>
        <v>High Sales</v>
      </c>
      <c r="E85" t="str">
        <f>IF('sales_data_sample (2)'!C85&gt;=50,"Bulk Order","Normal Order")</f>
        <v>Bulk Order</v>
      </c>
    </row>
    <row r="86" spans="1:5" x14ac:dyDescent="0.3">
      <c r="A86" s="2">
        <v>38336</v>
      </c>
      <c r="B86" t="str">
        <f>TEXT('sales_data_sample (2)'!F86,"MMM")</f>
        <v>Nov</v>
      </c>
      <c r="C86">
        <f t="shared" si="1"/>
        <v>2004</v>
      </c>
      <c r="D86" t="str">
        <f>IF('sales_data_sample (2)'!E86&gt;5000,"High Sales","Low Sales")</f>
        <v>Low Sales</v>
      </c>
      <c r="E86" t="str">
        <f>IF('sales_data_sample (2)'!C86&gt;=50,"Bulk Order","Normal Order")</f>
        <v>Bulk Order</v>
      </c>
    </row>
    <row r="87" spans="1:5" x14ac:dyDescent="0.3">
      <c r="A87" s="2">
        <v>38383</v>
      </c>
      <c r="B87" t="str">
        <f>TEXT('sales_data_sample (2)'!F87,"MMM")</f>
        <v>Nov</v>
      </c>
      <c r="C87">
        <f t="shared" si="1"/>
        <v>2005</v>
      </c>
      <c r="D87" t="str">
        <f>IF('sales_data_sample (2)'!E87&gt;5000,"High Sales","Low Sales")</f>
        <v>Low Sales</v>
      </c>
      <c r="E87" t="str">
        <f>IF('sales_data_sample (2)'!C87&gt;=50,"Bulk Order","Normal Order")</f>
        <v>Bulk Order</v>
      </c>
    </row>
    <row r="88" spans="1:5" x14ac:dyDescent="0.3">
      <c r="A88" s="2">
        <v>38406</v>
      </c>
      <c r="B88" t="str">
        <f>TEXT('sales_data_sample (2)'!F88,"MMM")</f>
        <v>Nov</v>
      </c>
      <c r="C88">
        <f t="shared" si="1"/>
        <v>2005</v>
      </c>
      <c r="D88" t="str">
        <f>IF('sales_data_sample (2)'!E88&gt;5000,"High Sales","Low Sales")</f>
        <v>Low Sales</v>
      </c>
      <c r="E88" t="str">
        <f>IF('sales_data_sample (2)'!C88&gt;=50,"Bulk Order","Normal Order")</f>
        <v>Bulk Order</v>
      </c>
    </row>
    <row r="89" spans="1:5" x14ac:dyDescent="0.3">
      <c r="A89" s="2">
        <v>38428</v>
      </c>
      <c r="B89" t="str">
        <f>TEXT('sales_data_sample (2)'!F89,"MMM")</f>
        <v>Nov</v>
      </c>
      <c r="C89">
        <f t="shared" si="1"/>
        <v>2005</v>
      </c>
      <c r="D89" t="str">
        <f>IF('sales_data_sample (2)'!E89&gt;5000,"High Sales","Low Sales")</f>
        <v>Low Sales</v>
      </c>
      <c r="E89" t="str">
        <f>IF('sales_data_sample (2)'!C89&gt;=50,"Bulk Order","Normal Order")</f>
        <v>Bulk Order</v>
      </c>
    </row>
    <row r="90" spans="1:5" x14ac:dyDescent="0.3">
      <c r="A90" s="2">
        <v>38443</v>
      </c>
      <c r="B90" t="str">
        <f>TEXT('sales_data_sample (2)'!F90,"MMM")</f>
        <v>Nov</v>
      </c>
      <c r="C90">
        <f t="shared" si="1"/>
        <v>2005</v>
      </c>
      <c r="D90" t="str">
        <f>IF('sales_data_sample (2)'!E90&gt;5000,"High Sales","Low Sales")</f>
        <v>Low Sales</v>
      </c>
      <c r="E90" t="str">
        <f>IF('sales_data_sample (2)'!C90&gt;=50,"Bulk Order","Normal Order")</f>
        <v>Bulk Order</v>
      </c>
    </row>
    <row r="91" spans="1:5" x14ac:dyDescent="0.3">
      <c r="A91" s="2">
        <v>38478</v>
      </c>
      <c r="B91" t="str">
        <f>TEXT('sales_data_sample (2)'!F91,"MMM")</f>
        <v>Nov</v>
      </c>
      <c r="C91">
        <f t="shared" si="1"/>
        <v>2005</v>
      </c>
      <c r="D91" t="str">
        <f>IF('sales_data_sample (2)'!E91&gt;5000,"High Sales","Low Sales")</f>
        <v>High Sales</v>
      </c>
      <c r="E91" t="str">
        <f>IF('sales_data_sample (2)'!C91&gt;=50,"Bulk Order","Normal Order")</f>
        <v>Bulk Order</v>
      </c>
    </row>
    <row r="92" spans="1:5" x14ac:dyDescent="0.3">
      <c r="A92" s="2">
        <v>37712</v>
      </c>
      <c r="B92" t="str">
        <f>TEXT('sales_data_sample (2)'!F92,"MMM")</f>
        <v>Nov</v>
      </c>
      <c r="C92">
        <f t="shared" si="1"/>
        <v>2003</v>
      </c>
      <c r="D92" t="str">
        <f>IF('sales_data_sample (2)'!E92&gt;5000,"High Sales","Low Sales")</f>
        <v>High Sales</v>
      </c>
      <c r="E92" t="str">
        <f>IF('sales_data_sample (2)'!C92&gt;=50,"Bulk Order","Normal Order")</f>
        <v>Bulk Order</v>
      </c>
    </row>
    <row r="93" spans="1:5" x14ac:dyDescent="0.3">
      <c r="A93" s="2">
        <v>37915</v>
      </c>
      <c r="B93" t="str">
        <f>TEXT('sales_data_sample (2)'!F93,"MMM")</f>
        <v>Nov</v>
      </c>
      <c r="C93">
        <f t="shared" si="1"/>
        <v>2003</v>
      </c>
      <c r="D93" t="str">
        <f>IF('sales_data_sample (2)'!E93&gt;5000,"High Sales","Low Sales")</f>
        <v>High Sales</v>
      </c>
      <c r="E93" t="str">
        <f>IF('sales_data_sample (2)'!C93&gt;=50,"Bulk Order","Normal Order")</f>
        <v>Bulk Order</v>
      </c>
    </row>
    <row r="94" spans="1:5" x14ac:dyDescent="0.3">
      <c r="A94" s="2">
        <v>37931</v>
      </c>
      <c r="B94" t="str">
        <f>TEXT('sales_data_sample (2)'!F94,"MMM")</f>
        <v>Nov</v>
      </c>
      <c r="C94">
        <f t="shared" si="1"/>
        <v>2003</v>
      </c>
      <c r="D94" t="str">
        <f>IF('sales_data_sample (2)'!E94&gt;5000,"High Sales","Low Sales")</f>
        <v>High Sales</v>
      </c>
      <c r="E94" t="str">
        <f>IF('sales_data_sample (2)'!C94&gt;=50,"Bulk Order","Normal Order")</f>
        <v>Bulk Order</v>
      </c>
    </row>
    <row r="95" spans="1:5" x14ac:dyDescent="0.3">
      <c r="A95" s="2">
        <v>37964</v>
      </c>
      <c r="B95" t="str">
        <f>TEXT('sales_data_sample (2)'!F95,"MMM")</f>
        <v>Nov</v>
      </c>
      <c r="C95">
        <f t="shared" si="1"/>
        <v>2003</v>
      </c>
      <c r="D95" t="str">
        <f>IF('sales_data_sample (2)'!E95&gt;5000,"High Sales","Low Sales")</f>
        <v>High Sales</v>
      </c>
      <c r="E95" t="str">
        <f>IF('sales_data_sample (2)'!C95&gt;=50,"Bulk Order","Normal Order")</f>
        <v>Bulk Order</v>
      </c>
    </row>
    <row r="96" spans="1:5" x14ac:dyDescent="0.3">
      <c r="A96" s="2">
        <v>38021</v>
      </c>
      <c r="B96" t="str">
        <f>TEXT('sales_data_sample (2)'!F96,"MMM")</f>
        <v>Dec</v>
      </c>
      <c r="C96">
        <f t="shared" si="1"/>
        <v>2004</v>
      </c>
      <c r="D96" t="str">
        <f>IF('sales_data_sample (2)'!E96&gt;5000,"High Sales","Low Sales")</f>
        <v>Low Sales</v>
      </c>
      <c r="E96" t="str">
        <f>IF('sales_data_sample (2)'!C96&gt;=50,"Bulk Order","Normal Order")</f>
        <v>Normal Order</v>
      </c>
    </row>
    <row r="97" spans="1:5" x14ac:dyDescent="0.3">
      <c r="A97" s="2">
        <v>38057</v>
      </c>
      <c r="B97" t="str">
        <f>TEXT('sales_data_sample (2)'!F97,"MMM")</f>
        <v>Dec</v>
      </c>
      <c r="C97">
        <f t="shared" si="1"/>
        <v>2004</v>
      </c>
      <c r="D97" t="str">
        <f>IF('sales_data_sample (2)'!E97&gt;5000,"High Sales","Low Sales")</f>
        <v>Low Sales</v>
      </c>
      <c r="E97" t="str">
        <f>IF('sales_data_sample (2)'!C97&gt;=50,"Bulk Order","Normal Order")</f>
        <v>Bulk Order</v>
      </c>
    </row>
    <row r="98" spans="1:5" x14ac:dyDescent="0.3">
      <c r="A98" s="2">
        <v>38153</v>
      </c>
      <c r="B98" t="str">
        <f>TEXT('sales_data_sample (2)'!F98,"MMM")</f>
        <v>Dec</v>
      </c>
      <c r="C98">
        <f t="shared" si="1"/>
        <v>2004</v>
      </c>
      <c r="D98" t="str">
        <f>IF('sales_data_sample (2)'!E98&gt;5000,"High Sales","Low Sales")</f>
        <v>Low Sales</v>
      </c>
      <c r="E98" t="str">
        <f>IF('sales_data_sample (2)'!C98&gt;=50,"Bulk Order","Normal Order")</f>
        <v>Bulk Order</v>
      </c>
    </row>
    <row r="99" spans="1:5" x14ac:dyDescent="0.3">
      <c r="A99" s="2">
        <v>38218</v>
      </c>
      <c r="B99" t="str">
        <f>TEXT('sales_data_sample (2)'!F99,"MMM")</f>
        <v>Dec</v>
      </c>
      <c r="C99">
        <f t="shared" si="1"/>
        <v>2004</v>
      </c>
      <c r="D99" t="str">
        <f>IF('sales_data_sample (2)'!E99&gt;5000,"High Sales","Low Sales")</f>
        <v>High Sales</v>
      </c>
      <c r="E99" t="str">
        <f>IF('sales_data_sample (2)'!C99&gt;=50,"Bulk Order","Normal Order")</f>
        <v>Bulk Order</v>
      </c>
    </row>
    <row r="100" spans="1:5" x14ac:dyDescent="0.3">
      <c r="A100" s="2">
        <v>38273</v>
      </c>
      <c r="B100" t="str">
        <f>TEXT('sales_data_sample (2)'!F100,"MMM")</f>
        <v>Dec</v>
      </c>
      <c r="C100">
        <f t="shared" si="1"/>
        <v>2004</v>
      </c>
      <c r="D100" t="str">
        <f>IF('sales_data_sample (2)'!E100&gt;5000,"High Sales","Low Sales")</f>
        <v>Low Sales</v>
      </c>
      <c r="E100" t="str">
        <f>IF('sales_data_sample (2)'!C100&gt;=50,"Bulk Order","Normal Order")</f>
        <v>Bulk Order</v>
      </c>
    </row>
    <row r="101" spans="1:5" x14ac:dyDescent="0.3">
      <c r="A101" s="2">
        <v>38282</v>
      </c>
      <c r="B101" t="str">
        <f>TEXT('sales_data_sample (2)'!F101,"MMM")</f>
        <v>Dec</v>
      </c>
      <c r="C101">
        <f t="shared" si="1"/>
        <v>2004</v>
      </c>
      <c r="D101" t="str">
        <f>IF('sales_data_sample (2)'!E101&gt;5000,"High Sales","Low Sales")</f>
        <v>High Sales</v>
      </c>
      <c r="E101" t="str">
        <f>IF('sales_data_sample (2)'!C101&gt;=50,"Bulk Order","Normal Order")</f>
        <v>Bulk Order</v>
      </c>
    </row>
    <row r="102" spans="1:5" x14ac:dyDescent="0.3">
      <c r="A102" s="2">
        <v>38310</v>
      </c>
      <c r="B102" t="str">
        <f>TEXT('sales_data_sample (2)'!F102,"MMM")</f>
        <v>Dec</v>
      </c>
      <c r="C102">
        <f t="shared" si="1"/>
        <v>2004</v>
      </c>
      <c r="D102" t="str">
        <f>IF('sales_data_sample (2)'!E102&gt;5000,"High Sales","Low Sales")</f>
        <v>Low Sales</v>
      </c>
      <c r="E102" t="str">
        <f>IF('sales_data_sample (2)'!C102&gt;=50,"Bulk Order","Normal Order")</f>
        <v>Bulk Order</v>
      </c>
    </row>
    <row r="103" spans="1:5" x14ac:dyDescent="0.3">
      <c r="A103" s="2">
        <v>38372</v>
      </c>
      <c r="B103" t="str">
        <f>TEXT('sales_data_sample (2)'!F103,"MMM")</f>
        <v>Jan</v>
      </c>
      <c r="C103">
        <f t="shared" si="1"/>
        <v>2005</v>
      </c>
      <c r="D103" t="str">
        <f>IF('sales_data_sample (2)'!E103&gt;5000,"High Sales","Low Sales")</f>
        <v>High Sales</v>
      </c>
      <c r="E103" t="str">
        <f>IF('sales_data_sample (2)'!C103&gt;=50,"Bulk Order","Normal Order")</f>
        <v>Bulk Order</v>
      </c>
    </row>
    <row r="104" spans="1:5" x14ac:dyDescent="0.3">
      <c r="A104" s="2">
        <v>38503</v>
      </c>
      <c r="B104" t="str">
        <f>TEXT('sales_data_sample (2)'!F104,"MMM")</f>
        <v>Jan</v>
      </c>
      <c r="C104">
        <f t="shared" si="1"/>
        <v>2005</v>
      </c>
      <c r="D104" t="str">
        <f>IF('sales_data_sample (2)'!E104&gt;5000,"High Sales","Low Sales")</f>
        <v>High Sales</v>
      </c>
      <c r="E104" t="str">
        <f>IF('sales_data_sample (2)'!C104&gt;=50,"Bulk Order","Normal Order")</f>
        <v>Bulk Order</v>
      </c>
    </row>
    <row r="105" spans="1:5" x14ac:dyDescent="0.3">
      <c r="A105" s="2">
        <v>37683</v>
      </c>
      <c r="B105" t="str">
        <f>TEXT('sales_data_sample (2)'!F105,"MMM")</f>
        <v>Jan</v>
      </c>
      <c r="C105">
        <f t="shared" si="1"/>
        <v>2003</v>
      </c>
      <c r="D105" t="str">
        <f>IF('sales_data_sample (2)'!E105&gt;5000,"High Sales","Low Sales")</f>
        <v>Low Sales</v>
      </c>
      <c r="E105" t="str">
        <f>IF('sales_data_sample (2)'!C105&gt;=50,"Bulk Order","Normal Order")</f>
        <v>Bulk Order</v>
      </c>
    </row>
    <row r="106" spans="1:5" x14ac:dyDescent="0.3">
      <c r="A106" s="2">
        <v>37749</v>
      </c>
      <c r="B106" t="str">
        <f>TEXT('sales_data_sample (2)'!F106,"MMM")</f>
        <v>Jan</v>
      </c>
      <c r="C106">
        <f t="shared" si="1"/>
        <v>2003</v>
      </c>
      <c r="D106" t="str">
        <f>IF('sales_data_sample (2)'!E106&gt;5000,"High Sales","Low Sales")</f>
        <v>Low Sales</v>
      </c>
      <c r="E106" t="str">
        <f>IF('sales_data_sample (2)'!C106&gt;=50,"Bulk Order","Normal Order")</f>
        <v>Bulk Order</v>
      </c>
    </row>
    <row r="107" spans="1:5" x14ac:dyDescent="0.3">
      <c r="A107" s="2">
        <v>37804</v>
      </c>
      <c r="B107" t="str">
        <f>TEXT('sales_data_sample (2)'!F107,"MMM")</f>
        <v>Jan</v>
      </c>
      <c r="C107">
        <f t="shared" si="1"/>
        <v>2003</v>
      </c>
      <c r="D107" t="str">
        <f>IF('sales_data_sample (2)'!E107&gt;5000,"High Sales","Low Sales")</f>
        <v>Low Sales</v>
      </c>
      <c r="E107" t="str">
        <f>IF('sales_data_sample (2)'!C107&gt;=50,"Bulk Order","Normal Order")</f>
        <v>Bulk Order</v>
      </c>
    </row>
    <row r="108" spans="1:5" x14ac:dyDescent="0.3">
      <c r="A108" s="2">
        <v>37869</v>
      </c>
      <c r="B108" t="str">
        <f>TEXT('sales_data_sample (2)'!F108,"MMM")</f>
        <v>Jan</v>
      </c>
      <c r="C108">
        <f t="shared" si="1"/>
        <v>2003</v>
      </c>
      <c r="D108" t="str">
        <f>IF('sales_data_sample (2)'!E108&gt;5000,"High Sales","Low Sales")</f>
        <v>Low Sales</v>
      </c>
      <c r="E108" t="str">
        <f>IF('sales_data_sample (2)'!C108&gt;=50,"Bulk Order","Normal Order")</f>
        <v>Bulk Order</v>
      </c>
    </row>
    <row r="109" spans="1:5" x14ac:dyDescent="0.3">
      <c r="A109" s="2">
        <v>37929</v>
      </c>
      <c r="B109" t="str">
        <f>TEXT('sales_data_sample (2)'!F109,"MMM")</f>
        <v>Jan</v>
      </c>
      <c r="C109">
        <f t="shared" si="1"/>
        <v>2003</v>
      </c>
      <c r="D109" t="str">
        <f>IF('sales_data_sample (2)'!E109&gt;5000,"High Sales","Low Sales")</f>
        <v>High Sales</v>
      </c>
      <c r="E109" t="str">
        <f>IF('sales_data_sample (2)'!C109&gt;=50,"Bulk Order","Normal Order")</f>
        <v>Bulk Order</v>
      </c>
    </row>
    <row r="110" spans="1:5" x14ac:dyDescent="0.3">
      <c r="A110" s="2">
        <v>37937</v>
      </c>
      <c r="B110" t="str">
        <f>TEXT('sales_data_sample (2)'!F110,"MMM")</f>
        <v>Jan</v>
      </c>
      <c r="C110">
        <f t="shared" si="1"/>
        <v>2003</v>
      </c>
      <c r="D110" t="str">
        <f>IF('sales_data_sample (2)'!E110&gt;5000,"High Sales","Low Sales")</f>
        <v>High Sales</v>
      </c>
      <c r="E110" t="str">
        <f>IF('sales_data_sample (2)'!C110&gt;=50,"Bulk Order","Normal Order")</f>
        <v>Bulk Order</v>
      </c>
    </row>
    <row r="111" spans="1:5" x14ac:dyDescent="0.3">
      <c r="A111" s="2">
        <v>37945</v>
      </c>
      <c r="B111" t="str">
        <f>TEXT('sales_data_sample (2)'!F111,"MMM")</f>
        <v>Feb</v>
      </c>
      <c r="C111">
        <f t="shared" si="1"/>
        <v>2003</v>
      </c>
      <c r="D111" t="str">
        <f>IF('sales_data_sample (2)'!E111&gt;5000,"High Sales","Low Sales")</f>
        <v>High Sales</v>
      </c>
      <c r="E111" t="str">
        <f>IF('sales_data_sample (2)'!C111&gt;=50,"Bulk Order","Normal Order")</f>
        <v>Bulk Order</v>
      </c>
    </row>
    <row r="112" spans="1:5" x14ac:dyDescent="0.3">
      <c r="A112" s="2">
        <v>37957</v>
      </c>
      <c r="B112" t="str">
        <f>TEXT('sales_data_sample (2)'!F112,"MMM")</f>
        <v>Feb</v>
      </c>
      <c r="C112">
        <f t="shared" si="1"/>
        <v>2003</v>
      </c>
      <c r="D112" t="str">
        <f>IF('sales_data_sample (2)'!E112&gt;5000,"High Sales","Low Sales")</f>
        <v>High Sales</v>
      </c>
      <c r="E112" t="str">
        <f>IF('sales_data_sample (2)'!C112&gt;=50,"Bulk Order","Normal Order")</f>
        <v>Bulk Order</v>
      </c>
    </row>
    <row r="113" spans="1:5" x14ac:dyDescent="0.3">
      <c r="A113" s="2">
        <v>38039</v>
      </c>
      <c r="B113" t="str">
        <f>TEXT('sales_data_sample (2)'!F113,"MMM")</f>
        <v>Feb</v>
      </c>
      <c r="C113">
        <f t="shared" si="1"/>
        <v>2004</v>
      </c>
      <c r="D113" t="str">
        <f>IF('sales_data_sample (2)'!E113&gt;5000,"High Sales","Low Sales")</f>
        <v>Low Sales</v>
      </c>
      <c r="E113" t="str">
        <f>IF('sales_data_sample (2)'!C113&gt;=50,"Bulk Order","Normal Order")</f>
        <v>Bulk Order</v>
      </c>
    </row>
    <row r="114" spans="1:5" x14ac:dyDescent="0.3">
      <c r="A114" s="2">
        <v>38086</v>
      </c>
      <c r="B114" t="str">
        <f>TEXT('sales_data_sample (2)'!F114,"MMM")</f>
        <v>Feb</v>
      </c>
      <c r="C114">
        <f t="shared" si="1"/>
        <v>2004</v>
      </c>
      <c r="D114" t="str">
        <f>IF('sales_data_sample (2)'!E114&gt;5000,"High Sales","Low Sales")</f>
        <v>High Sales</v>
      </c>
      <c r="E114" t="str">
        <f>IF('sales_data_sample (2)'!C114&gt;=50,"Bulk Order","Normal Order")</f>
        <v>Bulk Order</v>
      </c>
    </row>
    <row r="115" spans="1:5" x14ac:dyDescent="0.3">
      <c r="A115" s="2">
        <v>38139</v>
      </c>
      <c r="B115" t="str">
        <f>TEXT('sales_data_sample (2)'!F115,"MMM")</f>
        <v>Feb</v>
      </c>
      <c r="C115">
        <f t="shared" si="1"/>
        <v>2004</v>
      </c>
      <c r="D115" t="str">
        <f>IF('sales_data_sample (2)'!E115&gt;5000,"High Sales","Low Sales")</f>
        <v>Low Sales</v>
      </c>
      <c r="E115" t="str">
        <f>IF('sales_data_sample (2)'!C115&gt;=50,"Bulk Order","Normal Order")</f>
        <v>Bulk Order</v>
      </c>
    </row>
    <row r="116" spans="1:5" x14ac:dyDescent="0.3">
      <c r="A116" s="2">
        <v>38174</v>
      </c>
      <c r="B116" t="str">
        <f>TEXT('sales_data_sample (2)'!F116,"MMM")</f>
        <v>Feb</v>
      </c>
      <c r="C116">
        <f t="shared" si="1"/>
        <v>2004</v>
      </c>
      <c r="D116" t="str">
        <f>IF('sales_data_sample (2)'!E116&gt;5000,"High Sales","Low Sales")</f>
        <v>High Sales</v>
      </c>
      <c r="E116" t="str">
        <f>IF('sales_data_sample (2)'!C116&gt;=50,"Bulk Order","Normal Order")</f>
        <v>Bulk Order</v>
      </c>
    </row>
    <row r="117" spans="1:5" x14ac:dyDescent="0.3">
      <c r="A117" s="2">
        <v>38201</v>
      </c>
      <c r="B117" t="str">
        <f>TEXT('sales_data_sample (2)'!F117,"MMM")</f>
        <v>Feb</v>
      </c>
      <c r="C117">
        <f t="shared" si="1"/>
        <v>2004</v>
      </c>
      <c r="D117" t="str">
        <f>IF('sales_data_sample (2)'!E117&gt;5000,"High Sales","Low Sales")</f>
        <v>Low Sales</v>
      </c>
      <c r="E117" t="str">
        <f>IF('sales_data_sample (2)'!C117&gt;=50,"Bulk Order","Normal Order")</f>
        <v>Bulk Order</v>
      </c>
    </row>
    <row r="118" spans="1:5" x14ac:dyDescent="0.3">
      <c r="A118" s="2">
        <v>38229</v>
      </c>
      <c r="B118" t="str">
        <f>TEXT('sales_data_sample (2)'!F118,"MMM")</f>
        <v>Feb</v>
      </c>
      <c r="C118">
        <f t="shared" si="1"/>
        <v>2004</v>
      </c>
      <c r="D118" t="str">
        <f>IF('sales_data_sample (2)'!E118&gt;5000,"High Sales","Low Sales")</f>
        <v>High Sales</v>
      </c>
      <c r="E118" t="str">
        <f>IF('sales_data_sample (2)'!C118&gt;=50,"Bulk Order","Normal Order")</f>
        <v>Bulk Order</v>
      </c>
    </row>
    <row r="119" spans="1:5" x14ac:dyDescent="0.3">
      <c r="A119" s="2">
        <v>37898</v>
      </c>
      <c r="B119" t="str">
        <f>TEXT('sales_data_sample (2)'!F119,"MMM")</f>
        <v>Feb</v>
      </c>
      <c r="C119">
        <f t="shared" si="1"/>
        <v>2003</v>
      </c>
      <c r="D119" t="str">
        <f>IF('sales_data_sample (2)'!E119&gt;5000,"High Sales","Low Sales")</f>
        <v>Low Sales</v>
      </c>
      <c r="E119" t="str">
        <f>IF('sales_data_sample (2)'!C119&gt;=50,"Bulk Order","Normal Order")</f>
        <v>Bulk Order</v>
      </c>
    </row>
    <row r="120" spans="1:5" x14ac:dyDescent="0.3">
      <c r="A120" s="2">
        <v>38276</v>
      </c>
      <c r="B120" t="str">
        <f>TEXT('sales_data_sample (2)'!F120,"MMM")</f>
        <v>Feb</v>
      </c>
      <c r="C120">
        <f t="shared" si="1"/>
        <v>2004</v>
      </c>
      <c r="D120" t="str">
        <f>IF('sales_data_sample (2)'!E120&gt;5000,"High Sales","Low Sales")</f>
        <v>Low Sales</v>
      </c>
      <c r="E120" t="str">
        <f>IF('sales_data_sample (2)'!C120&gt;=50,"Bulk Order","Normal Order")</f>
        <v>Bulk Order</v>
      </c>
    </row>
    <row r="121" spans="1:5" x14ac:dyDescent="0.3">
      <c r="A121" s="2">
        <v>38294</v>
      </c>
      <c r="B121" t="str">
        <f>TEXT('sales_data_sample (2)'!F121,"MMM")</f>
        <v>Mar</v>
      </c>
      <c r="C121">
        <f t="shared" si="1"/>
        <v>2004</v>
      </c>
      <c r="D121" t="str">
        <f>IF('sales_data_sample (2)'!E121&gt;5000,"High Sales","Low Sales")</f>
        <v>Low Sales</v>
      </c>
      <c r="E121" t="str">
        <f>IF('sales_data_sample (2)'!C121&gt;=50,"Bulk Order","Normal Order")</f>
        <v>Bulk Order</v>
      </c>
    </row>
    <row r="122" spans="1:5" x14ac:dyDescent="0.3">
      <c r="A122" s="2">
        <v>38358</v>
      </c>
      <c r="B122" t="str">
        <f>TEXT('sales_data_sample (2)'!F122,"MMM")</f>
        <v>Mar</v>
      </c>
      <c r="C122">
        <f t="shared" si="1"/>
        <v>2005</v>
      </c>
      <c r="D122" t="str">
        <f>IF('sales_data_sample (2)'!E122&gt;5000,"High Sales","Low Sales")</f>
        <v>High Sales</v>
      </c>
      <c r="E122" t="str">
        <f>IF('sales_data_sample (2)'!C122&gt;=50,"Bulk Order","Normal Order")</f>
        <v>Bulk Order</v>
      </c>
    </row>
    <row r="123" spans="1:5" x14ac:dyDescent="0.3">
      <c r="A123" s="2">
        <v>38414</v>
      </c>
      <c r="B123" t="str">
        <f>TEXT('sales_data_sample (2)'!F123,"MMM")</f>
        <v>Mar</v>
      </c>
      <c r="C123">
        <f t="shared" si="1"/>
        <v>2005</v>
      </c>
      <c r="D123" t="str">
        <f>IF('sales_data_sample (2)'!E123&gt;5000,"High Sales","Low Sales")</f>
        <v>High Sales</v>
      </c>
      <c r="E123" t="str">
        <f>IF('sales_data_sample (2)'!C123&gt;=50,"Bulk Order","Normal Order")</f>
        <v>Bulk Order</v>
      </c>
    </row>
    <row r="124" spans="1:5" x14ac:dyDescent="0.3">
      <c r="A124" s="2">
        <v>38489</v>
      </c>
      <c r="B124" t="str">
        <f>TEXT('sales_data_sample (2)'!F124,"MMM")</f>
        <v>Mar</v>
      </c>
      <c r="C124">
        <f t="shared" si="1"/>
        <v>2005</v>
      </c>
      <c r="D124" t="str">
        <f>IF('sales_data_sample (2)'!E124&gt;5000,"High Sales","Low Sales")</f>
        <v>High Sales</v>
      </c>
      <c r="E124" t="str">
        <f>IF('sales_data_sample (2)'!C124&gt;=50,"Bulk Order","Normal Order")</f>
        <v>Bulk Order</v>
      </c>
    </row>
    <row r="125" spans="1:5" x14ac:dyDescent="0.3">
      <c r="A125" s="2">
        <v>37727</v>
      </c>
      <c r="B125" t="str">
        <f>TEXT('sales_data_sample (2)'!F125,"MMM")</f>
        <v>Mar</v>
      </c>
      <c r="C125">
        <f t="shared" si="1"/>
        <v>2003</v>
      </c>
      <c r="D125" t="str">
        <f>IF('sales_data_sample (2)'!E125&gt;5000,"High Sales","Low Sales")</f>
        <v>High Sales</v>
      </c>
      <c r="E125" t="str">
        <f>IF('sales_data_sample (2)'!C125&gt;=50,"Bulk Order","Normal Order")</f>
        <v>Bulk Order</v>
      </c>
    </row>
    <row r="126" spans="1:5" x14ac:dyDescent="0.3">
      <c r="A126" s="2">
        <v>37775</v>
      </c>
      <c r="B126" t="str">
        <f>TEXT('sales_data_sample (2)'!F126,"MMM")</f>
        <v>Mar</v>
      </c>
      <c r="C126">
        <f t="shared" si="1"/>
        <v>2003</v>
      </c>
      <c r="D126" t="str">
        <f>IF('sales_data_sample (2)'!E126&gt;5000,"High Sales","Low Sales")</f>
        <v>Low Sales</v>
      </c>
      <c r="E126" t="str">
        <f>IF('sales_data_sample (2)'!C126&gt;=50,"Bulk Order","Normal Order")</f>
        <v>Bulk Order</v>
      </c>
    </row>
    <row r="127" spans="1:5" x14ac:dyDescent="0.3">
      <c r="A127" s="2">
        <v>37841</v>
      </c>
      <c r="B127" t="str">
        <f>TEXT('sales_data_sample (2)'!F127,"MMM")</f>
        <v>Mar</v>
      </c>
      <c r="C127">
        <f t="shared" si="1"/>
        <v>2003</v>
      </c>
      <c r="D127" t="str">
        <f>IF('sales_data_sample (2)'!E127&gt;5000,"High Sales","Low Sales")</f>
        <v>Low Sales</v>
      </c>
      <c r="E127" t="str">
        <f>IF('sales_data_sample (2)'!C127&gt;=50,"Bulk Order","Normal Order")</f>
        <v>Bulk Order</v>
      </c>
    </row>
    <row r="128" spans="1:5" x14ac:dyDescent="0.3">
      <c r="A128" s="2">
        <v>37892</v>
      </c>
      <c r="B128" t="str">
        <f>TEXT('sales_data_sample (2)'!F128,"MMM")</f>
        <v>Apr</v>
      </c>
      <c r="C128">
        <f t="shared" si="1"/>
        <v>2003</v>
      </c>
      <c r="D128" t="str">
        <f>IF('sales_data_sample (2)'!E128&gt;5000,"High Sales","Low Sales")</f>
        <v>Low Sales</v>
      </c>
      <c r="E128" t="str">
        <f>IF('sales_data_sample (2)'!C128&gt;=50,"Bulk Order","Normal Order")</f>
        <v>Bulk Order</v>
      </c>
    </row>
    <row r="129" spans="1:5" x14ac:dyDescent="0.3">
      <c r="A129" s="2">
        <v>37916</v>
      </c>
      <c r="B129" t="str">
        <f>TEXT('sales_data_sample (2)'!F129,"MMM")</f>
        <v>Apr</v>
      </c>
      <c r="C129">
        <f t="shared" si="1"/>
        <v>2003</v>
      </c>
      <c r="D129" t="str">
        <f>IF('sales_data_sample (2)'!E129&gt;5000,"High Sales","Low Sales")</f>
        <v>Low Sales</v>
      </c>
      <c r="E129" t="str">
        <f>IF('sales_data_sample (2)'!C129&gt;=50,"Bulk Order","Normal Order")</f>
        <v>Bulk Order</v>
      </c>
    </row>
    <row r="130" spans="1:5" x14ac:dyDescent="0.3">
      <c r="A130" s="2">
        <v>37931</v>
      </c>
      <c r="B130" t="str">
        <f>TEXT('sales_data_sample (2)'!F130,"MMM")</f>
        <v>Apr</v>
      </c>
      <c r="C130">
        <f t="shared" si="1"/>
        <v>2003</v>
      </c>
      <c r="D130" t="str">
        <f>IF('sales_data_sample (2)'!E130&gt;5000,"High Sales","Low Sales")</f>
        <v>Low Sales</v>
      </c>
      <c r="E130" t="str">
        <f>IF('sales_data_sample (2)'!C130&gt;=50,"Bulk Order","Normal Order")</f>
        <v>Bulk Order</v>
      </c>
    </row>
    <row r="131" spans="1:5" x14ac:dyDescent="0.3">
      <c r="A131" s="2">
        <v>37939</v>
      </c>
      <c r="B131" t="str">
        <f>TEXT('sales_data_sample (2)'!F131,"MMM")</f>
        <v>Apr</v>
      </c>
      <c r="C131">
        <f t="shared" ref="C131:C194" si="2">YEAR(A131)</f>
        <v>2003</v>
      </c>
      <c r="D131" t="str">
        <f>IF('sales_data_sample (2)'!E131&gt;5000,"High Sales","Low Sales")</f>
        <v>High Sales</v>
      </c>
      <c r="E131" t="str">
        <f>IF('sales_data_sample (2)'!C131&gt;=50,"Bulk Order","Normal Order")</f>
        <v>Bulk Order</v>
      </c>
    </row>
    <row r="132" spans="1:5" x14ac:dyDescent="0.3">
      <c r="A132" s="2">
        <v>37951</v>
      </c>
      <c r="B132" t="str">
        <f>TEXT('sales_data_sample (2)'!F132,"MMM")</f>
        <v>Apr</v>
      </c>
      <c r="C132">
        <f t="shared" si="2"/>
        <v>2003</v>
      </c>
      <c r="D132" t="str">
        <f>IF('sales_data_sample (2)'!E132&gt;5000,"High Sales","Low Sales")</f>
        <v>Low Sales</v>
      </c>
      <c r="E132" t="str">
        <f>IF('sales_data_sample (2)'!C132&gt;=50,"Bulk Order","Normal Order")</f>
        <v>Bulk Order</v>
      </c>
    </row>
    <row r="133" spans="1:5" x14ac:dyDescent="0.3">
      <c r="A133" s="2">
        <v>37988</v>
      </c>
      <c r="B133" t="str">
        <f>TEXT('sales_data_sample (2)'!F133,"MMM")</f>
        <v>Apr</v>
      </c>
      <c r="C133">
        <f t="shared" si="2"/>
        <v>2004</v>
      </c>
      <c r="D133" t="str">
        <f>IF('sales_data_sample (2)'!E133&gt;5000,"High Sales","Low Sales")</f>
        <v>High Sales</v>
      </c>
      <c r="E133" t="str">
        <f>IF('sales_data_sample (2)'!C133&gt;=50,"Bulk Order","Normal Order")</f>
        <v>Bulk Order</v>
      </c>
    </row>
    <row r="134" spans="1:5" x14ac:dyDescent="0.3">
      <c r="A134" s="2">
        <v>38029</v>
      </c>
      <c r="B134" t="str">
        <f>TEXT('sales_data_sample (2)'!F134,"MMM")</f>
        <v>Apr</v>
      </c>
      <c r="C134">
        <f t="shared" si="2"/>
        <v>2004</v>
      </c>
      <c r="D134" t="str">
        <f>IF('sales_data_sample (2)'!E134&gt;5000,"High Sales","Low Sales")</f>
        <v>Low Sales</v>
      </c>
      <c r="E134" t="str">
        <f>IF('sales_data_sample (2)'!C134&gt;=50,"Bulk Order","Normal Order")</f>
        <v>Bulk Order</v>
      </c>
    </row>
    <row r="135" spans="1:5" x14ac:dyDescent="0.3">
      <c r="A135" s="2">
        <v>38065</v>
      </c>
      <c r="B135" t="str">
        <f>TEXT('sales_data_sample (2)'!F135,"MMM")</f>
        <v>Apr</v>
      </c>
      <c r="C135">
        <f t="shared" si="2"/>
        <v>2004</v>
      </c>
      <c r="D135" t="str">
        <f>IF('sales_data_sample (2)'!E135&gt;5000,"High Sales","Low Sales")</f>
        <v>Low Sales</v>
      </c>
      <c r="E135" t="str">
        <f>IF('sales_data_sample (2)'!C135&gt;=50,"Bulk Order","Normal Order")</f>
        <v>Normal Order</v>
      </c>
    </row>
    <row r="136" spans="1:5" x14ac:dyDescent="0.3">
      <c r="A136" s="2">
        <v>38112</v>
      </c>
      <c r="B136" t="str">
        <f>TEXT('sales_data_sample (2)'!F136,"MMM")</f>
        <v>Apr</v>
      </c>
      <c r="C136">
        <f t="shared" si="2"/>
        <v>2004</v>
      </c>
      <c r="D136" t="str">
        <f>IF('sales_data_sample (2)'!E136&gt;5000,"High Sales","Low Sales")</f>
        <v>High Sales</v>
      </c>
      <c r="E136" t="str">
        <f>IF('sales_data_sample (2)'!C136&gt;=50,"Bulk Order","Normal Order")</f>
        <v>Bulk Order</v>
      </c>
    </row>
    <row r="137" spans="1:5" x14ac:dyDescent="0.3">
      <c r="A137" s="2">
        <v>38188</v>
      </c>
      <c r="B137" t="str">
        <f>TEXT('sales_data_sample (2)'!F137,"MMM")</f>
        <v>Apr</v>
      </c>
      <c r="C137">
        <f t="shared" si="2"/>
        <v>2004</v>
      </c>
      <c r="D137" t="str">
        <f>IF('sales_data_sample (2)'!E137&gt;5000,"High Sales","Low Sales")</f>
        <v>Low Sales</v>
      </c>
      <c r="E137" t="str">
        <f>IF('sales_data_sample (2)'!C137&gt;=50,"Bulk Order","Normal Order")</f>
        <v>Bulk Order</v>
      </c>
    </row>
    <row r="138" spans="1:5" x14ac:dyDescent="0.3">
      <c r="A138" s="2">
        <v>38219</v>
      </c>
      <c r="B138" t="str">
        <f>TEXT('sales_data_sample (2)'!F138,"MMM")</f>
        <v>May</v>
      </c>
      <c r="C138">
        <f t="shared" si="2"/>
        <v>2004</v>
      </c>
      <c r="D138" t="str">
        <f>IF('sales_data_sample (2)'!E138&gt;5000,"High Sales","Low Sales")</f>
        <v>High Sales</v>
      </c>
      <c r="E138" t="str">
        <f>IF('sales_data_sample (2)'!C138&gt;=50,"Bulk Order","Normal Order")</f>
        <v>Bulk Order</v>
      </c>
    </row>
    <row r="139" spans="1:5" x14ac:dyDescent="0.3">
      <c r="A139" s="2">
        <v>38239</v>
      </c>
      <c r="B139" t="str">
        <f>TEXT('sales_data_sample (2)'!F139,"MMM")</f>
        <v>May</v>
      </c>
      <c r="C139">
        <f t="shared" si="2"/>
        <v>2004</v>
      </c>
      <c r="D139" t="str">
        <f>IF('sales_data_sample (2)'!E139&gt;5000,"High Sales","Low Sales")</f>
        <v>High Sales</v>
      </c>
      <c r="E139" t="str">
        <f>IF('sales_data_sample (2)'!C139&gt;=50,"Bulk Order","Normal Order")</f>
        <v>Bulk Order</v>
      </c>
    </row>
    <row r="140" spans="1:5" x14ac:dyDescent="0.3">
      <c r="A140" s="2">
        <v>38274</v>
      </c>
      <c r="B140" t="str">
        <f>TEXT('sales_data_sample (2)'!F140,"MMM")</f>
        <v>May</v>
      </c>
      <c r="C140">
        <f t="shared" si="2"/>
        <v>2004</v>
      </c>
      <c r="D140" t="str">
        <f>IF('sales_data_sample (2)'!E140&gt;5000,"High Sales","Low Sales")</f>
        <v>High Sales</v>
      </c>
      <c r="E140" t="str">
        <f>IF('sales_data_sample (2)'!C140&gt;=50,"Bulk Order","Normal Order")</f>
        <v>Bulk Order</v>
      </c>
    </row>
    <row r="141" spans="1:5" x14ac:dyDescent="0.3">
      <c r="A141" s="2">
        <v>38282</v>
      </c>
      <c r="B141" t="str">
        <f>TEXT('sales_data_sample (2)'!F141,"MMM")</f>
        <v>May</v>
      </c>
      <c r="C141">
        <f t="shared" si="2"/>
        <v>2004</v>
      </c>
      <c r="D141" t="str">
        <f>IF('sales_data_sample (2)'!E141&gt;5000,"High Sales","Low Sales")</f>
        <v>Low Sales</v>
      </c>
      <c r="E141" t="str">
        <f>IF('sales_data_sample (2)'!C141&gt;=50,"Bulk Order","Normal Order")</f>
        <v>Bulk Order</v>
      </c>
    </row>
    <row r="142" spans="1:5" x14ac:dyDescent="0.3">
      <c r="A142" s="2">
        <v>38311</v>
      </c>
      <c r="B142" t="str">
        <f>TEXT('sales_data_sample (2)'!F142,"MMM")</f>
        <v>May</v>
      </c>
      <c r="C142">
        <f t="shared" si="2"/>
        <v>2004</v>
      </c>
      <c r="D142" t="str">
        <f>IF('sales_data_sample (2)'!E142&gt;5000,"High Sales","Low Sales")</f>
        <v>High Sales</v>
      </c>
      <c r="E142" t="str">
        <f>IF('sales_data_sample (2)'!C142&gt;=50,"Bulk Order","Normal Order")</f>
        <v>Bulk Order</v>
      </c>
    </row>
    <row r="143" spans="1:5" x14ac:dyDescent="0.3">
      <c r="A143" s="2">
        <v>38292</v>
      </c>
      <c r="B143" t="str">
        <f>TEXT('sales_data_sample (2)'!F143,"MMM")</f>
        <v>May</v>
      </c>
      <c r="C143">
        <f t="shared" si="2"/>
        <v>2004</v>
      </c>
      <c r="D143" t="str">
        <f>IF('sales_data_sample (2)'!E143&gt;5000,"High Sales","Low Sales")</f>
        <v>High Sales</v>
      </c>
      <c r="E143" t="str">
        <f>IF('sales_data_sample (2)'!C143&gt;=50,"Bulk Order","Normal Order")</f>
        <v>Bulk Order</v>
      </c>
    </row>
    <row r="144" spans="1:5" x14ac:dyDescent="0.3">
      <c r="A144" s="2">
        <v>38375</v>
      </c>
      <c r="B144" t="str">
        <f>TEXT('sales_data_sample (2)'!F144,"MMM")</f>
        <v>May</v>
      </c>
      <c r="C144">
        <f t="shared" si="2"/>
        <v>2005</v>
      </c>
      <c r="D144" t="str">
        <f>IF('sales_data_sample (2)'!E144&gt;5000,"High Sales","Low Sales")</f>
        <v>Low Sales</v>
      </c>
      <c r="E144" t="str">
        <f>IF('sales_data_sample (2)'!C144&gt;=50,"Bulk Order","Normal Order")</f>
        <v>Bulk Order</v>
      </c>
    </row>
    <row r="145" spans="1:5" x14ac:dyDescent="0.3">
      <c r="A145" s="2">
        <v>38400</v>
      </c>
      <c r="B145" t="str">
        <f>TEXT('sales_data_sample (2)'!F145,"MMM")</f>
        <v>May</v>
      </c>
      <c r="C145">
        <f t="shared" si="2"/>
        <v>2005</v>
      </c>
      <c r="D145" t="str">
        <f>IF('sales_data_sample (2)'!E145&gt;5000,"High Sales","Low Sales")</f>
        <v>Low Sales</v>
      </c>
      <c r="E145" t="str">
        <f>IF('sales_data_sample (2)'!C145&gt;=50,"Bulk Order","Normal Order")</f>
        <v>Bulk Order</v>
      </c>
    </row>
    <row r="146" spans="1:5" x14ac:dyDescent="0.3">
      <c r="A146" s="2">
        <v>38477</v>
      </c>
      <c r="B146" t="str">
        <f>TEXT('sales_data_sample (2)'!F146,"MMM")</f>
        <v>Jun</v>
      </c>
      <c r="C146">
        <f t="shared" si="2"/>
        <v>2005</v>
      </c>
      <c r="D146" t="str">
        <f>IF('sales_data_sample (2)'!E146&gt;5000,"High Sales","Low Sales")</f>
        <v>Low Sales</v>
      </c>
      <c r="E146" t="str">
        <f>IF('sales_data_sample (2)'!C146&gt;=50,"Bulk Order","Normal Order")</f>
        <v>Bulk Order</v>
      </c>
    </row>
    <row r="147" spans="1:5" x14ac:dyDescent="0.3">
      <c r="A147" s="2">
        <v>37706</v>
      </c>
      <c r="B147" t="str">
        <f>TEXT('sales_data_sample (2)'!F147,"MMM")</f>
        <v>Jun</v>
      </c>
      <c r="C147">
        <f t="shared" si="2"/>
        <v>2003</v>
      </c>
      <c r="D147" t="str">
        <f>IF('sales_data_sample (2)'!E147&gt;5000,"High Sales","Low Sales")</f>
        <v>Low Sales</v>
      </c>
      <c r="E147" t="str">
        <f>IF('sales_data_sample (2)'!C147&gt;=50,"Bulk Order","Normal Order")</f>
        <v>Bulk Order</v>
      </c>
    </row>
    <row r="148" spans="1:5" x14ac:dyDescent="0.3">
      <c r="A148" s="2">
        <v>38019</v>
      </c>
      <c r="B148" t="str">
        <f>TEXT('sales_data_sample (2)'!F148,"MMM")</f>
        <v>Jun</v>
      </c>
      <c r="C148">
        <f t="shared" si="2"/>
        <v>2004</v>
      </c>
      <c r="D148" t="str">
        <f>IF('sales_data_sample (2)'!E148&gt;5000,"High Sales","Low Sales")</f>
        <v>Low Sales</v>
      </c>
      <c r="E148" t="str">
        <f>IF('sales_data_sample (2)'!C148&gt;=50,"Bulk Order","Normal Order")</f>
        <v>Bulk Order</v>
      </c>
    </row>
    <row r="149" spans="1:5" x14ac:dyDescent="0.3">
      <c r="A149" s="2">
        <v>37943</v>
      </c>
      <c r="B149" t="str">
        <f>TEXT('sales_data_sample (2)'!F149,"MMM")</f>
        <v>Jun</v>
      </c>
      <c r="C149">
        <f t="shared" si="2"/>
        <v>2003</v>
      </c>
      <c r="D149" t="str">
        <f>IF('sales_data_sample (2)'!E149&gt;5000,"High Sales","Low Sales")</f>
        <v>Low Sales</v>
      </c>
      <c r="E149" t="str">
        <f>IF('sales_data_sample (2)'!C149&gt;=50,"Bulk Order","Normal Order")</f>
        <v>Bulk Order</v>
      </c>
    </row>
    <row r="150" spans="1:5" x14ac:dyDescent="0.3">
      <c r="A150" s="2">
        <v>38038</v>
      </c>
      <c r="B150" t="str">
        <f>TEXT('sales_data_sample (2)'!F150,"MMM")</f>
        <v>Jun</v>
      </c>
      <c r="C150">
        <f t="shared" si="2"/>
        <v>2004</v>
      </c>
      <c r="D150" t="str">
        <f>IF('sales_data_sample (2)'!E150&gt;5000,"High Sales","Low Sales")</f>
        <v>High Sales</v>
      </c>
      <c r="E150" t="str">
        <f>IF('sales_data_sample (2)'!C150&gt;=50,"Bulk Order","Normal Order")</f>
        <v>Bulk Order</v>
      </c>
    </row>
    <row r="151" spans="1:5" x14ac:dyDescent="0.3">
      <c r="A151" s="2">
        <v>38294</v>
      </c>
      <c r="B151" t="str">
        <f>TEXT('sales_data_sample (2)'!F151,"MMM")</f>
        <v>Jun</v>
      </c>
      <c r="C151">
        <f t="shared" si="2"/>
        <v>2004</v>
      </c>
      <c r="D151" t="str">
        <f>IF('sales_data_sample (2)'!E151&gt;5000,"High Sales","Low Sales")</f>
        <v>Low Sales</v>
      </c>
      <c r="E151" t="str">
        <f>IF('sales_data_sample (2)'!C151&gt;=50,"Bulk Order","Normal Order")</f>
        <v>Bulk Order</v>
      </c>
    </row>
    <row r="152" spans="1:5" x14ac:dyDescent="0.3">
      <c r="A152" s="2">
        <v>37652</v>
      </c>
      <c r="B152" t="str">
        <f>TEXT('sales_data_sample (2)'!F152,"MMM")</f>
        <v>Jun</v>
      </c>
      <c r="C152">
        <f t="shared" si="2"/>
        <v>2003</v>
      </c>
      <c r="D152" t="str">
        <f>IF('sales_data_sample (2)'!E152&gt;5000,"High Sales","Low Sales")</f>
        <v>Low Sales</v>
      </c>
      <c r="E152" t="str">
        <f>IF('sales_data_sample (2)'!C152&gt;=50,"Bulk Order","Normal Order")</f>
        <v>Bulk Order</v>
      </c>
    </row>
    <row r="153" spans="1:5" x14ac:dyDescent="0.3">
      <c r="A153" s="2">
        <v>38061</v>
      </c>
      <c r="B153" t="str">
        <f>TEXT('sales_data_sample (2)'!F153,"MMM")</f>
        <v>Jun</v>
      </c>
      <c r="C153">
        <f t="shared" si="2"/>
        <v>2004</v>
      </c>
      <c r="D153" t="str">
        <f>IF('sales_data_sample (2)'!E153&gt;5000,"High Sales","Low Sales")</f>
        <v>High Sales</v>
      </c>
      <c r="E153" t="str">
        <f>IF('sales_data_sample (2)'!C153&gt;=50,"Bulk Order","Normal Order")</f>
        <v>Bulk Order</v>
      </c>
    </row>
    <row r="154" spans="1:5" x14ac:dyDescent="0.3">
      <c r="A154" s="2">
        <v>38296</v>
      </c>
      <c r="B154" t="str">
        <f>TEXT('sales_data_sample (2)'!F154,"MMM")</f>
        <v>Jun</v>
      </c>
      <c r="C154">
        <f t="shared" si="2"/>
        <v>2004</v>
      </c>
      <c r="D154" t="str">
        <f>IF('sales_data_sample (2)'!E154&gt;5000,"High Sales","Low Sales")</f>
        <v>Low Sales</v>
      </c>
      <c r="E154" t="str">
        <f>IF('sales_data_sample (2)'!C154&gt;=50,"Bulk Order","Normal Order")</f>
        <v>Bulk Order</v>
      </c>
    </row>
    <row r="155" spans="1:5" x14ac:dyDescent="0.3">
      <c r="A155" s="2">
        <v>38331</v>
      </c>
      <c r="B155" t="str">
        <f>TEXT('sales_data_sample (2)'!F155,"MMM")</f>
        <v>Jun</v>
      </c>
      <c r="C155">
        <f t="shared" si="2"/>
        <v>2004</v>
      </c>
      <c r="D155" t="str">
        <f>IF('sales_data_sample (2)'!E155&gt;5000,"High Sales","Low Sales")</f>
        <v>Low Sales</v>
      </c>
      <c r="E155" t="str">
        <f>IF('sales_data_sample (2)'!C155&gt;=50,"Bulk Order","Normal Order")</f>
        <v>Bulk Order</v>
      </c>
    </row>
    <row r="156" spans="1:5" x14ac:dyDescent="0.3">
      <c r="A156" s="2">
        <v>38378</v>
      </c>
      <c r="B156" t="str">
        <f>TEXT('sales_data_sample (2)'!F156,"MMM")</f>
        <v>Jul</v>
      </c>
      <c r="C156">
        <f t="shared" si="2"/>
        <v>2005</v>
      </c>
      <c r="D156" t="str">
        <f>IF('sales_data_sample (2)'!E156&gt;5000,"High Sales","Low Sales")</f>
        <v>Low Sales</v>
      </c>
      <c r="E156" t="str">
        <f>IF('sales_data_sample (2)'!C156&gt;=50,"Bulk Order","Normal Order")</f>
        <v>Bulk Order</v>
      </c>
    </row>
    <row r="157" spans="1:5" x14ac:dyDescent="0.3">
      <c r="A157" s="2">
        <v>37905</v>
      </c>
      <c r="B157" t="str">
        <f>TEXT('sales_data_sample (2)'!F157,"MMM")</f>
        <v>Jul</v>
      </c>
      <c r="C157">
        <f t="shared" si="2"/>
        <v>2003</v>
      </c>
      <c r="D157" t="str">
        <f>IF('sales_data_sample (2)'!E157&gt;5000,"High Sales","Low Sales")</f>
        <v>High Sales</v>
      </c>
      <c r="E157" t="str">
        <f>IF('sales_data_sample (2)'!C157&gt;=50,"Bulk Order","Normal Order")</f>
        <v>Bulk Order</v>
      </c>
    </row>
    <row r="158" spans="1:5" x14ac:dyDescent="0.3">
      <c r="A158" s="2">
        <v>37929</v>
      </c>
      <c r="B158" t="str">
        <f>TEXT('sales_data_sample (2)'!F158,"MMM")</f>
        <v>Jul</v>
      </c>
      <c r="C158">
        <f t="shared" si="2"/>
        <v>2003</v>
      </c>
      <c r="D158" t="str">
        <f>IF('sales_data_sample (2)'!E158&gt;5000,"High Sales","Low Sales")</f>
        <v>Low Sales</v>
      </c>
      <c r="E158" t="str">
        <f>IF('sales_data_sample (2)'!C158&gt;=50,"Bulk Order","Normal Order")</f>
        <v>Bulk Order</v>
      </c>
    </row>
    <row r="159" spans="1:5" x14ac:dyDescent="0.3">
      <c r="A159" s="2">
        <v>38002</v>
      </c>
      <c r="B159" t="str">
        <f>TEXT('sales_data_sample (2)'!F159,"MMM")</f>
        <v>Jul</v>
      </c>
      <c r="C159">
        <f t="shared" si="2"/>
        <v>2004</v>
      </c>
      <c r="D159" t="str">
        <f>IF('sales_data_sample (2)'!E159&gt;5000,"High Sales","Low Sales")</f>
        <v>Low Sales</v>
      </c>
      <c r="E159" t="str">
        <f>IF('sales_data_sample (2)'!C159&gt;=50,"Bulk Order","Normal Order")</f>
        <v>Bulk Order</v>
      </c>
    </row>
    <row r="160" spans="1:5" x14ac:dyDescent="0.3">
      <c r="A160" s="2">
        <v>38391</v>
      </c>
      <c r="B160" t="str">
        <f>TEXT('sales_data_sample (2)'!F160,"MMM")</f>
        <v>Jul</v>
      </c>
      <c r="C160">
        <f t="shared" si="2"/>
        <v>2005</v>
      </c>
      <c r="D160" t="str">
        <f>IF('sales_data_sample (2)'!E160&gt;5000,"High Sales","Low Sales")</f>
        <v>Low Sales</v>
      </c>
      <c r="E160" t="str">
        <f>IF('sales_data_sample (2)'!C160&gt;=50,"Bulk Order","Normal Order")</f>
        <v>Bulk Order</v>
      </c>
    </row>
    <row r="161" spans="1:5" x14ac:dyDescent="0.3">
      <c r="A161" s="2">
        <v>38322</v>
      </c>
      <c r="B161" t="str">
        <f>TEXT('sales_data_sample (2)'!F161,"MMM")</f>
        <v>Jul</v>
      </c>
      <c r="C161">
        <f t="shared" si="2"/>
        <v>2004</v>
      </c>
      <c r="D161" t="str">
        <f>IF('sales_data_sample (2)'!E161&gt;5000,"High Sales","Low Sales")</f>
        <v>Low Sales</v>
      </c>
      <c r="E161" t="str">
        <f>IF('sales_data_sample (2)'!C161&gt;=50,"Bulk Order","Normal Order")</f>
        <v>Bulk Order</v>
      </c>
    </row>
    <row r="162" spans="1:5" x14ac:dyDescent="0.3">
      <c r="A162" s="2">
        <v>38434</v>
      </c>
      <c r="B162" t="str">
        <f>TEXT('sales_data_sample (2)'!F162,"MMM")</f>
        <v>Jul</v>
      </c>
      <c r="C162">
        <f t="shared" si="2"/>
        <v>2005</v>
      </c>
      <c r="D162" t="str">
        <f>IF('sales_data_sample (2)'!E162&gt;5000,"High Sales","Low Sales")</f>
        <v>High Sales</v>
      </c>
      <c r="E162" t="str">
        <f>IF('sales_data_sample (2)'!C162&gt;=50,"Bulk Order","Normal Order")</f>
        <v>Bulk Order</v>
      </c>
    </row>
    <row r="163" spans="1:5" x14ac:dyDescent="0.3">
      <c r="A163" s="2">
        <v>38392</v>
      </c>
      <c r="B163" t="str">
        <f>TEXT('sales_data_sample (2)'!F163,"MMM")</f>
        <v>Jul</v>
      </c>
      <c r="C163">
        <f t="shared" si="2"/>
        <v>2005</v>
      </c>
      <c r="D163" t="str">
        <f>IF('sales_data_sample (2)'!E163&gt;5000,"High Sales","Low Sales")</f>
        <v>Low Sales</v>
      </c>
      <c r="E163" t="str">
        <f>IF('sales_data_sample (2)'!C163&gt;=50,"Bulk Order","Normal Order")</f>
        <v>Bulk Order</v>
      </c>
    </row>
    <row r="164" spans="1:5" x14ac:dyDescent="0.3">
      <c r="A164" s="2">
        <v>37715</v>
      </c>
      <c r="B164" t="str">
        <f>TEXT('sales_data_sample (2)'!F164,"MMM")</f>
        <v>Jul</v>
      </c>
      <c r="C164">
        <f t="shared" si="2"/>
        <v>2003</v>
      </c>
      <c r="D164" t="str">
        <f>IF('sales_data_sample (2)'!E164&gt;5000,"High Sales","Low Sales")</f>
        <v>High Sales</v>
      </c>
      <c r="E164" t="str">
        <f>IF('sales_data_sample (2)'!C164&gt;=50,"Bulk Order","Normal Order")</f>
        <v>Bulk Order</v>
      </c>
    </row>
    <row r="165" spans="1:5" x14ac:dyDescent="0.3">
      <c r="A165" s="2">
        <v>37834</v>
      </c>
      <c r="B165" t="str">
        <f>TEXT('sales_data_sample (2)'!F165,"MMM")</f>
        <v>Jul</v>
      </c>
      <c r="C165">
        <f t="shared" si="2"/>
        <v>2003</v>
      </c>
      <c r="D165" t="str">
        <f>IF('sales_data_sample (2)'!E165&gt;5000,"High Sales","Low Sales")</f>
        <v>Low Sales</v>
      </c>
      <c r="E165" t="str">
        <f>IF('sales_data_sample (2)'!C165&gt;=50,"Bulk Order","Normal Order")</f>
        <v>Bulk Order</v>
      </c>
    </row>
    <row r="166" spans="1:5" x14ac:dyDescent="0.3">
      <c r="A166" s="2">
        <v>37885</v>
      </c>
      <c r="B166" t="str">
        <f>TEXT('sales_data_sample (2)'!F166,"MMM")</f>
        <v>Aug</v>
      </c>
      <c r="C166">
        <f t="shared" si="2"/>
        <v>2003</v>
      </c>
      <c r="D166" t="str">
        <f>IF('sales_data_sample (2)'!E166&gt;5000,"High Sales","Low Sales")</f>
        <v>High Sales</v>
      </c>
      <c r="E166" t="str">
        <f>IF('sales_data_sample (2)'!C166&gt;=50,"Bulk Order","Normal Order")</f>
        <v>Bulk Order</v>
      </c>
    </row>
    <row r="167" spans="1:5" x14ac:dyDescent="0.3">
      <c r="A167" s="2">
        <v>37939</v>
      </c>
      <c r="B167" t="str">
        <f>TEXT('sales_data_sample (2)'!F167,"MMM")</f>
        <v>Aug</v>
      </c>
      <c r="C167">
        <f t="shared" si="2"/>
        <v>2003</v>
      </c>
      <c r="D167" t="str">
        <f>IF('sales_data_sample (2)'!E167&gt;5000,"High Sales","Low Sales")</f>
        <v>Low Sales</v>
      </c>
      <c r="E167" t="str">
        <f>IF('sales_data_sample (2)'!C167&gt;=50,"Bulk Order","Normal Order")</f>
        <v>Bulk Order</v>
      </c>
    </row>
    <row r="168" spans="1:5" x14ac:dyDescent="0.3">
      <c r="A168" s="2">
        <v>37950</v>
      </c>
      <c r="B168" t="str">
        <f>TEXT('sales_data_sample (2)'!F168,"MMM")</f>
        <v>Aug</v>
      </c>
      <c r="C168">
        <f t="shared" si="2"/>
        <v>2003</v>
      </c>
      <c r="D168" t="str">
        <f>IF('sales_data_sample (2)'!E168&gt;5000,"High Sales","Low Sales")</f>
        <v>Low Sales</v>
      </c>
      <c r="E168" t="str">
        <f>IF('sales_data_sample (2)'!C168&gt;=50,"Bulk Order","Normal Order")</f>
        <v>Bulk Order</v>
      </c>
    </row>
    <row r="169" spans="1:5" x14ac:dyDescent="0.3">
      <c r="A169" s="2">
        <v>38027</v>
      </c>
      <c r="B169" t="str">
        <f>TEXT('sales_data_sample (2)'!F169,"MMM")</f>
        <v>Aug</v>
      </c>
      <c r="C169">
        <f t="shared" si="2"/>
        <v>2004</v>
      </c>
      <c r="D169" t="str">
        <f>IF('sales_data_sample (2)'!E169&gt;5000,"High Sales","Low Sales")</f>
        <v>Low Sales</v>
      </c>
      <c r="E169" t="str">
        <f>IF('sales_data_sample (2)'!C169&gt;=50,"Bulk Order","Normal Order")</f>
        <v>Bulk Order</v>
      </c>
    </row>
    <row r="170" spans="1:5" x14ac:dyDescent="0.3">
      <c r="A170" s="2">
        <v>38112</v>
      </c>
      <c r="B170" t="str">
        <f>TEXT('sales_data_sample (2)'!F170,"MMM")</f>
        <v>Aug</v>
      </c>
      <c r="C170">
        <f t="shared" si="2"/>
        <v>2004</v>
      </c>
      <c r="D170" t="str">
        <f>IF('sales_data_sample (2)'!E170&gt;5000,"High Sales","Low Sales")</f>
        <v>High Sales</v>
      </c>
      <c r="E170" t="str">
        <f>IF('sales_data_sample (2)'!C170&gt;=50,"Bulk Order","Normal Order")</f>
        <v>Bulk Order</v>
      </c>
    </row>
    <row r="171" spans="1:5" x14ac:dyDescent="0.3">
      <c r="A171" s="2">
        <v>38188</v>
      </c>
      <c r="B171" t="str">
        <f>TEXT('sales_data_sample (2)'!F171,"MMM")</f>
        <v>Aug</v>
      </c>
      <c r="C171">
        <f t="shared" si="2"/>
        <v>2004</v>
      </c>
      <c r="D171" t="str">
        <f>IF('sales_data_sample (2)'!E171&gt;5000,"High Sales","Low Sales")</f>
        <v>High Sales</v>
      </c>
      <c r="E171" t="str">
        <f>IF('sales_data_sample (2)'!C171&gt;=50,"Bulk Order","Normal Order")</f>
        <v>Bulk Order</v>
      </c>
    </row>
    <row r="172" spans="1:5" x14ac:dyDescent="0.3">
      <c r="A172" s="2">
        <v>38238</v>
      </c>
      <c r="B172" t="str">
        <f>TEXT('sales_data_sample (2)'!F172,"MMM")</f>
        <v>Aug</v>
      </c>
      <c r="C172">
        <f t="shared" si="2"/>
        <v>2004</v>
      </c>
      <c r="D172" t="str">
        <f>IF('sales_data_sample (2)'!E172&gt;5000,"High Sales","Low Sales")</f>
        <v>High Sales</v>
      </c>
      <c r="E172" t="str">
        <f>IF('sales_data_sample (2)'!C172&gt;=50,"Bulk Order","Normal Order")</f>
        <v>Bulk Order</v>
      </c>
    </row>
    <row r="173" spans="1:5" x14ac:dyDescent="0.3">
      <c r="A173" s="2">
        <v>38475</v>
      </c>
      <c r="B173" t="str">
        <f>TEXT('sales_data_sample (2)'!F173,"MMM")</f>
        <v>Aug</v>
      </c>
      <c r="C173">
        <f t="shared" si="2"/>
        <v>2005</v>
      </c>
      <c r="D173" t="str">
        <f>IF('sales_data_sample (2)'!E173&gt;5000,"High Sales","Low Sales")</f>
        <v>Low Sales</v>
      </c>
      <c r="E173" t="str">
        <f>IF('sales_data_sample (2)'!C173&gt;=50,"Bulk Order","Normal Order")</f>
        <v>Bulk Order</v>
      </c>
    </row>
    <row r="174" spans="1:5" x14ac:dyDescent="0.3">
      <c r="A174" s="2">
        <v>37945</v>
      </c>
      <c r="B174" t="str">
        <f>TEXT('sales_data_sample (2)'!F174,"MMM")</f>
        <v>Aug</v>
      </c>
      <c r="C174">
        <f t="shared" si="2"/>
        <v>2003</v>
      </c>
      <c r="D174" t="str">
        <f>IF('sales_data_sample (2)'!E174&gt;5000,"High Sales","Low Sales")</f>
        <v>High Sales</v>
      </c>
      <c r="E174" t="str">
        <f>IF('sales_data_sample (2)'!C174&gt;=50,"Bulk Order","Normal Order")</f>
        <v>Bulk Order</v>
      </c>
    </row>
    <row r="175" spans="1:5" x14ac:dyDescent="0.3">
      <c r="A175" s="2">
        <v>38089</v>
      </c>
      <c r="B175" t="str">
        <f>TEXT('sales_data_sample (2)'!F175,"MMM")</f>
        <v>Aug</v>
      </c>
      <c r="C175">
        <f t="shared" si="2"/>
        <v>2004</v>
      </c>
      <c r="D175" t="str">
        <f>IF('sales_data_sample (2)'!E175&gt;5000,"High Sales","Low Sales")</f>
        <v>Low Sales</v>
      </c>
      <c r="E175" t="str">
        <f>IF('sales_data_sample (2)'!C175&gt;=50,"Bulk Order","Normal Order")</f>
        <v>Bulk Order</v>
      </c>
    </row>
    <row r="176" spans="1:5" x14ac:dyDescent="0.3">
      <c r="A176" s="2">
        <v>38203</v>
      </c>
      <c r="B176" t="str">
        <f>TEXT('sales_data_sample (2)'!F176,"MMM")</f>
        <v>Aug</v>
      </c>
      <c r="C176">
        <f t="shared" si="2"/>
        <v>2004</v>
      </c>
      <c r="D176" t="str">
        <f>IF('sales_data_sample (2)'!E176&gt;5000,"High Sales","Low Sales")</f>
        <v>Low Sales</v>
      </c>
      <c r="E176" t="str">
        <f>IF('sales_data_sample (2)'!C176&gt;=50,"Bulk Order","Normal Order")</f>
        <v>Bulk Order</v>
      </c>
    </row>
    <row r="177" spans="1:5" x14ac:dyDescent="0.3">
      <c r="A177" s="2">
        <v>38295</v>
      </c>
      <c r="B177" t="str">
        <f>TEXT('sales_data_sample (2)'!F177,"MMM")</f>
        <v>Aug</v>
      </c>
      <c r="C177">
        <f t="shared" si="2"/>
        <v>2004</v>
      </c>
      <c r="D177" t="str">
        <f>IF('sales_data_sample (2)'!E177&gt;5000,"High Sales","Low Sales")</f>
        <v>Low Sales</v>
      </c>
      <c r="E177" t="str">
        <f>IF('sales_data_sample (2)'!C177&gt;=50,"Bulk Order","Normal Order")</f>
        <v>Bulk Order</v>
      </c>
    </row>
    <row r="178" spans="1:5" x14ac:dyDescent="0.3">
      <c r="A178" s="2">
        <v>38456</v>
      </c>
      <c r="B178" t="str">
        <f>TEXT('sales_data_sample (2)'!F178,"MMM")</f>
        <v>Sep</v>
      </c>
      <c r="C178">
        <f t="shared" si="2"/>
        <v>2005</v>
      </c>
      <c r="D178" t="str">
        <f>IF('sales_data_sample (2)'!E178&gt;5000,"High Sales","Low Sales")</f>
        <v>Low Sales</v>
      </c>
      <c r="E178" t="str">
        <f>IF('sales_data_sample (2)'!C178&gt;=50,"Bulk Order","Normal Order")</f>
        <v>Bulk Order</v>
      </c>
    </row>
    <row r="179" spans="1:5" x14ac:dyDescent="0.3">
      <c r="A179" s="2">
        <v>37690</v>
      </c>
      <c r="B179" t="str">
        <f>TEXT('sales_data_sample (2)'!F179,"MMM")</f>
        <v>Sep</v>
      </c>
      <c r="C179">
        <f t="shared" si="2"/>
        <v>2003</v>
      </c>
      <c r="D179" t="str">
        <f>IF('sales_data_sample (2)'!E179&gt;5000,"High Sales","Low Sales")</f>
        <v>Low Sales</v>
      </c>
      <c r="E179" t="str">
        <f>IF('sales_data_sample (2)'!C179&gt;=50,"Bulk Order","Normal Order")</f>
        <v>Bulk Order</v>
      </c>
    </row>
    <row r="180" spans="1:5" x14ac:dyDescent="0.3">
      <c r="A180" s="2">
        <v>37806</v>
      </c>
      <c r="B180" t="str">
        <f>TEXT('sales_data_sample (2)'!F180,"MMM")</f>
        <v>Sep</v>
      </c>
      <c r="C180">
        <f t="shared" si="2"/>
        <v>2003</v>
      </c>
      <c r="D180" t="str">
        <f>IF('sales_data_sample (2)'!E180&gt;5000,"High Sales","Low Sales")</f>
        <v>Low Sales</v>
      </c>
      <c r="E180" t="str">
        <f>IF('sales_data_sample (2)'!C180&gt;=50,"Bulk Order","Normal Order")</f>
        <v>Bulk Order</v>
      </c>
    </row>
    <row r="181" spans="1:5" x14ac:dyDescent="0.3">
      <c r="A181" s="2">
        <v>37875</v>
      </c>
      <c r="B181" t="str">
        <f>TEXT('sales_data_sample (2)'!F181,"MMM")</f>
        <v>Sep</v>
      </c>
      <c r="C181">
        <f t="shared" si="2"/>
        <v>2003</v>
      </c>
      <c r="D181" t="str">
        <f>IF('sales_data_sample (2)'!E181&gt;5000,"High Sales","Low Sales")</f>
        <v>High Sales</v>
      </c>
      <c r="E181" t="str">
        <f>IF('sales_data_sample (2)'!C181&gt;=50,"Bulk Order","Normal Order")</f>
        <v>Bulk Order</v>
      </c>
    </row>
    <row r="182" spans="1:5" x14ac:dyDescent="0.3">
      <c r="A182" s="2">
        <v>37911</v>
      </c>
      <c r="B182" t="str">
        <f>TEXT('sales_data_sample (2)'!F182,"MMM")</f>
        <v>Sep</v>
      </c>
      <c r="C182">
        <f t="shared" si="2"/>
        <v>2003</v>
      </c>
      <c r="D182" t="str">
        <f>IF('sales_data_sample (2)'!E182&gt;5000,"High Sales","Low Sales")</f>
        <v>Low Sales</v>
      </c>
      <c r="E182" t="str">
        <f>IF('sales_data_sample (2)'!C182&gt;=50,"Bulk Order","Normal Order")</f>
        <v>Bulk Order</v>
      </c>
    </row>
    <row r="183" spans="1:5" x14ac:dyDescent="0.3">
      <c r="A183" s="2">
        <v>37930</v>
      </c>
      <c r="B183" t="str">
        <f>TEXT('sales_data_sample (2)'!F183,"MMM")</f>
        <v>Sep</v>
      </c>
      <c r="C183">
        <f t="shared" si="2"/>
        <v>2003</v>
      </c>
      <c r="D183" t="str">
        <f>IF('sales_data_sample (2)'!E183&gt;5000,"High Sales","Low Sales")</f>
        <v>High Sales</v>
      </c>
      <c r="E183" t="str">
        <f>IF('sales_data_sample (2)'!C183&gt;=50,"Bulk Order","Normal Order")</f>
        <v>Bulk Order</v>
      </c>
    </row>
    <row r="184" spans="1:5" x14ac:dyDescent="0.3">
      <c r="A184" s="2">
        <v>37957</v>
      </c>
      <c r="B184" t="str">
        <f>TEXT('sales_data_sample (2)'!F184,"MMM")</f>
        <v>Sep</v>
      </c>
      <c r="C184">
        <f t="shared" si="2"/>
        <v>2003</v>
      </c>
      <c r="D184" t="str">
        <f>IF('sales_data_sample (2)'!E184&gt;5000,"High Sales","Low Sales")</f>
        <v>Low Sales</v>
      </c>
      <c r="E184" t="str">
        <f>IF('sales_data_sample (2)'!C184&gt;=50,"Bulk Order","Normal Order")</f>
        <v>Bulk Order</v>
      </c>
    </row>
    <row r="185" spans="1:5" x14ac:dyDescent="0.3">
      <c r="A185" s="2">
        <v>38090</v>
      </c>
      <c r="B185" t="str">
        <f>TEXT('sales_data_sample (2)'!F185,"MMM")</f>
        <v>Sep</v>
      </c>
      <c r="C185">
        <f t="shared" si="2"/>
        <v>2004</v>
      </c>
      <c r="D185" t="str">
        <f>IF('sales_data_sample (2)'!E185&gt;5000,"High Sales","Low Sales")</f>
        <v>Low Sales</v>
      </c>
      <c r="E185" t="str">
        <f>IF('sales_data_sample (2)'!C185&gt;=50,"Bulk Order","Normal Order")</f>
        <v>Bulk Order</v>
      </c>
    </row>
    <row r="186" spans="1:5" x14ac:dyDescent="0.3">
      <c r="A186" s="2">
        <v>38205</v>
      </c>
      <c r="B186" t="str">
        <f>TEXT('sales_data_sample (2)'!F186,"MMM")</f>
        <v>Sep</v>
      </c>
      <c r="C186">
        <f t="shared" si="2"/>
        <v>2004</v>
      </c>
      <c r="D186" t="str">
        <f>IF('sales_data_sample (2)'!E186&gt;5000,"High Sales","Low Sales")</f>
        <v>High Sales</v>
      </c>
      <c r="E186" t="str">
        <f>IF('sales_data_sample (2)'!C186&gt;=50,"Bulk Order","Normal Order")</f>
        <v>Bulk Order</v>
      </c>
    </row>
    <row r="187" spans="1:5" x14ac:dyDescent="0.3">
      <c r="A187" s="2">
        <v>37899</v>
      </c>
      <c r="B187" t="str">
        <f>TEXT('sales_data_sample (2)'!F187,"MMM")</f>
        <v>Sep</v>
      </c>
      <c r="C187">
        <f t="shared" si="2"/>
        <v>2003</v>
      </c>
      <c r="D187" t="str">
        <f>IF('sales_data_sample (2)'!E187&gt;5000,"High Sales","Low Sales")</f>
        <v>Low Sales</v>
      </c>
      <c r="E187" t="str">
        <f>IF('sales_data_sample (2)'!C187&gt;=50,"Bulk Order","Normal Order")</f>
        <v>Bulk Order</v>
      </c>
    </row>
    <row r="188" spans="1:5" x14ac:dyDescent="0.3">
      <c r="A188" s="2">
        <v>38308</v>
      </c>
      <c r="B188" t="str">
        <f>TEXT('sales_data_sample (2)'!F188,"MMM")</f>
        <v>Sep</v>
      </c>
      <c r="C188">
        <f t="shared" si="2"/>
        <v>2004</v>
      </c>
      <c r="D188" t="str">
        <f>IF('sales_data_sample (2)'!E188&gt;5000,"High Sales","Low Sales")</f>
        <v>Low Sales</v>
      </c>
      <c r="E188" t="str">
        <f>IF('sales_data_sample (2)'!C188&gt;=50,"Bulk Order","Normal Order")</f>
        <v>Bulk Order</v>
      </c>
    </row>
    <row r="189" spans="1:5" x14ac:dyDescent="0.3">
      <c r="A189" s="2">
        <v>38315</v>
      </c>
      <c r="B189" t="str">
        <f>TEXT('sales_data_sample (2)'!F189,"MMM")</f>
        <v>Sep</v>
      </c>
      <c r="C189">
        <f t="shared" si="2"/>
        <v>2004</v>
      </c>
      <c r="D189" t="str">
        <f>IF('sales_data_sample (2)'!E189&gt;5000,"High Sales","Low Sales")</f>
        <v>Low Sales</v>
      </c>
      <c r="E189" t="str">
        <f>IF('sales_data_sample (2)'!C189&gt;=50,"Bulk Order","Normal Order")</f>
        <v>Bulk Order</v>
      </c>
    </row>
    <row r="190" spans="1:5" x14ac:dyDescent="0.3">
      <c r="A190" s="2">
        <v>38330</v>
      </c>
      <c r="B190" t="str">
        <f>TEXT('sales_data_sample (2)'!F190,"MMM")</f>
        <v>Oct</v>
      </c>
      <c r="C190">
        <f t="shared" si="2"/>
        <v>2004</v>
      </c>
      <c r="D190" t="str">
        <f>IF('sales_data_sample (2)'!E190&gt;5000,"High Sales","Low Sales")</f>
        <v>High Sales</v>
      </c>
      <c r="E190" t="str">
        <f>IF('sales_data_sample (2)'!C190&gt;=50,"Bulk Order","Normal Order")</f>
        <v>Bulk Order</v>
      </c>
    </row>
    <row r="191" spans="1:5" x14ac:dyDescent="0.3">
      <c r="A191" s="2">
        <v>38359</v>
      </c>
      <c r="B191" t="str">
        <f>TEXT('sales_data_sample (2)'!F191,"MMM")</f>
        <v>Oct</v>
      </c>
      <c r="C191">
        <f t="shared" si="2"/>
        <v>2005</v>
      </c>
      <c r="D191" t="str">
        <f>IF('sales_data_sample (2)'!E191&gt;5000,"High Sales","Low Sales")</f>
        <v>High Sales</v>
      </c>
      <c r="E191" t="str">
        <f>IF('sales_data_sample (2)'!C191&gt;=50,"Bulk Order","Normal Order")</f>
        <v>Bulk Order</v>
      </c>
    </row>
    <row r="192" spans="1:5" x14ac:dyDescent="0.3">
      <c r="A192" s="2">
        <v>38415</v>
      </c>
      <c r="B192" t="str">
        <f>TEXT('sales_data_sample (2)'!F192,"MMM")</f>
        <v>Oct</v>
      </c>
      <c r="C192">
        <f t="shared" si="2"/>
        <v>2005</v>
      </c>
      <c r="D192" t="str">
        <f>IF('sales_data_sample (2)'!E192&gt;5000,"High Sales","Low Sales")</f>
        <v>High Sales</v>
      </c>
      <c r="E192" t="str">
        <f>IF('sales_data_sample (2)'!C192&gt;=50,"Bulk Order","Normal Order")</f>
        <v>Bulk Order</v>
      </c>
    </row>
    <row r="193" spans="1:5" x14ac:dyDescent="0.3">
      <c r="A193" s="2">
        <v>38457</v>
      </c>
      <c r="B193" t="str">
        <f>TEXT('sales_data_sample (2)'!F193,"MMM")</f>
        <v>Oct</v>
      </c>
      <c r="C193">
        <f t="shared" si="2"/>
        <v>2005</v>
      </c>
      <c r="D193" t="str">
        <f>IF('sales_data_sample (2)'!E193&gt;5000,"High Sales","Low Sales")</f>
        <v>Low Sales</v>
      </c>
      <c r="E193" t="str">
        <f>IF('sales_data_sample (2)'!C193&gt;=50,"Bulk Order","Normal Order")</f>
        <v>Normal Order</v>
      </c>
    </row>
    <row r="194" spans="1:5" x14ac:dyDescent="0.3">
      <c r="A194" s="2">
        <v>37631</v>
      </c>
      <c r="B194" t="str">
        <f>TEXT('sales_data_sample (2)'!F194,"MMM")</f>
        <v>Oct</v>
      </c>
      <c r="C194">
        <f t="shared" si="2"/>
        <v>2003</v>
      </c>
      <c r="D194" t="str">
        <f>IF('sales_data_sample (2)'!E194&gt;5000,"High Sales","Low Sales")</f>
        <v>High Sales</v>
      </c>
      <c r="E194" t="str">
        <f>IF('sales_data_sample (2)'!C194&gt;=50,"Bulk Order","Normal Order")</f>
        <v>Bulk Order</v>
      </c>
    </row>
    <row r="195" spans="1:5" x14ac:dyDescent="0.3">
      <c r="A195" s="2">
        <v>37705</v>
      </c>
      <c r="B195" t="str">
        <f>TEXT('sales_data_sample (2)'!F195,"MMM")</f>
        <v>Oct</v>
      </c>
      <c r="C195">
        <f t="shared" ref="C195:C258" si="3">YEAR(A195)</f>
        <v>2003</v>
      </c>
      <c r="D195" t="str">
        <f>IF('sales_data_sample (2)'!E195&gt;5000,"High Sales","Low Sales")</f>
        <v>High Sales</v>
      </c>
      <c r="E195" t="str">
        <f>IF('sales_data_sample (2)'!C195&gt;=50,"Bulk Order","Normal Order")</f>
        <v>Bulk Order</v>
      </c>
    </row>
    <row r="196" spans="1:5" x14ac:dyDescent="0.3">
      <c r="A196" s="2">
        <v>37762</v>
      </c>
      <c r="B196" t="str">
        <f>TEXT('sales_data_sample (2)'!F196,"MMM")</f>
        <v>Oct</v>
      </c>
      <c r="C196">
        <f t="shared" si="3"/>
        <v>2003</v>
      </c>
      <c r="D196" t="str">
        <f>IF('sales_data_sample (2)'!E196&gt;5000,"High Sales","Low Sales")</f>
        <v>High Sales</v>
      </c>
      <c r="E196" t="str">
        <f>IF('sales_data_sample (2)'!C196&gt;=50,"Bulk Order","Normal Order")</f>
        <v>Bulk Order</v>
      </c>
    </row>
    <row r="197" spans="1:5" x14ac:dyDescent="0.3">
      <c r="A197" s="2">
        <v>37818</v>
      </c>
      <c r="B197" t="str">
        <f>TEXT('sales_data_sample (2)'!F197,"MMM")</f>
        <v>Oct</v>
      </c>
      <c r="C197">
        <f t="shared" si="3"/>
        <v>2003</v>
      </c>
      <c r="D197" t="str">
        <f>IF('sales_data_sample (2)'!E197&gt;5000,"High Sales","Low Sales")</f>
        <v>Low Sales</v>
      </c>
      <c r="E197" t="str">
        <f>IF('sales_data_sample (2)'!C197&gt;=50,"Bulk Order","Normal Order")</f>
        <v>Bulk Order</v>
      </c>
    </row>
    <row r="198" spans="1:5" x14ac:dyDescent="0.3">
      <c r="A198" s="2">
        <v>37876</v>
      </c>
      <c r="B198" t="str">
        <f>TEXT('sales_data_sample (2)'!F198,"MMM")</f>
        <v>Oct</v>
      </c>
      <c r="C198">
        <f t="shared" si="3"/>
        <v>2003</v>
      </c>
      <c r="D198" t="str">
        <f>IF('sales_data_sample (2)'!E198&gt;5000,"High Sales","Low Sales")</f>
        <v>Low Sales</v>
      </c>
      <c r="E198" t="str">
        <f>IF('sales_data_sample (2)'!C198&gt;=50,"Bulk Order","Normal Order")</f>
        <v>Bulk Order</v>
      </c>
    </row>
    <row r="199" spans="1:5" x14ac:dyDescent="0.3">
      <c r="A199" s="2">
        <v>37912</v>
      </c>
      <c r="B199" t="str">
        <f>TEXT('sales_data_sample (2)'!F199,"MMM")</f>
        <v>Oct</v>
      </c>
      <c r="C199">
        <f t="shared" si="3"/>
        <v>2003</v>
      </c>
      <c r="D199" t="str">
        <f>IF('sales_data_sample (2)'!E199&gt;5000,"High Sales","Low Sales")</f>
        <v>Low Sales</v>
      </c>
      <c r="E199" t="str">
        <f>IF('sales_data_sample (2)'!C199&gt;=50,"Bulk Order","Normal Order")</f>
        <v>Bulk Order</v>
      </c>
    </row>
    <row r="200" spans="1:5" x14ac:dyDescent="0.3">
      <c r="A200" s="2">
        <v>37930</v>
      </c>
      <c r="B200" t="str">
        <f>TEXT('sales_data_sample (2)'!F200,"MMM")</f>
        <v>Oct</v>
      </c>
      <c r="C200">
        <f t="shared" si="3"/>
        <v>2003</v>
      </c>
      <c r="D200" t="str">
        <f>IF('sales_data_sample (2)'!E200&gt;5000,"High Sales","Low Sales")</f>
        <v>High Sales</v>
      </c>
      <c r="E200" t="str">
        <f>IF('sales_data_sample (2)'!C200&gt;=50,"Bulk Order","Normal Order")</f>
        <v>Bulk Order</v>
      </c>
    </row>
    <row r="201" spans="1:5" x14ac:dyDescent="0.3">
      <c r="A201" s="2">
        <v>37937</v>
      </c>
      <c r="B201" t="str">
        <f>TEXT('sales_data_sample (2)'!F201,"MMM")</f>
        <v>Oct</v>
      </c>
      <c r="C201">
        <f t="shared" si="3"/>
        <v>2003</v>
      </c>
      <c r="D201" t="str">
        <f>IF('sales_data_sample (2)'!E201&gt;5000,"High Sales","Low Sales")</f>
        <v>Low Sales</v>
      </c>
      <c r="E201" t="str">
        <f>IF('sales_data_sample (2)'!C201&gt;=50,"Bulk Order","Normal Order")</f>
        <v>Bulk Order</v>
      </c>
    </row>
    <row r="202" spans="1:5" x14ac:dyDescent="0.3">
      <c r="A202" s="2">
        <v>37946</v>
      </c>
      <c r="B202" t="str">
        <f>TEXT('sales_data_sample (2)'!F202,"MMM")</f>
        <v>Oct</v>
      </c>
      <c r="C202">
        <f t="shared" si="3"/>
        <v>2003</v>
      </c>
      <c r="D202" t="str">
        <f>IF('sales_data_sample (2)'!E202&gt;5000,"High Sales","Low Sales")</f>
        <v>High Sales</v>
      </c>
      <c r="E202" t="str">
        <f>IF('sales_data_sample (2)'!C202&gt;=50,"Bulk Order","Normal Order")</f>
        <v>Bulk Order</v>
      </c>
    </row>
    <row r="203" spans="1:5" x14ac:dyDescent="0.3">
      <c r="A203" s="2">
        <v>37958</v>
      </c>
      <c r="B203" t="str">
        <f>TEXT('sales_data_sample (2)'!F203,"MMM")</f>
        <v>Oct</v>
      </c>
      <c r="C203">
        <f t="shared" si="3"/>
        <v>2003</v>
      </c>
      <c r="D203" t="str">
        <f>IF('sales_data_sample (2)'!E203&gt;5000,"High Sales","Low Sales")</f>
        <v>High Sales</v>
      </c>
      <c r="E203" t="str">
        <f>IF('sales_data_sample (2)'!C203&gt;=50,"Bulk Order","Normal Order")</f>
        <v>Bulk Order</v>
      </c>
    </row>
    <row r="204" spans="1:5" x14ac:dyDescent="0.3">
      <c r="A204" s="2">
        <v>38048</v>
      </c>
      <c r="B204" t="str">
        <f>TEXT('sales_data_sample (2)'!F204,"MMM")</f>
        <v>Oct</v>
      </c>
      <c r="C204">
        <f t="shared" si="3"/>
        <v>2004</v>
      </c>
      <c r="D204" t="str">
        <f>IF('sales_data_sample (2)'!E204&gt;5000,"High Sales","Low Sales")</f>
        <v>High Sales</v>
      </c>
      <c r="E204" t="str">
        <f>IF('sales_data_sample (2)'!C204&gt;=50,"Bulk Order","Normal Order")</f>
        <v>Bulk Order</v>
      </c>
    </row>
    <row r="205" spans="1:5" x14ac:dyDescent="0.3">
      <c r="A205" s="2">
        <v>38106</v>
      </c>
      <c r="B205" t="str">
        <f>TEXT('sales_data_sample (2)'!F205,"MMM")</f>
        <v>Oct</v>
      </c>
      <c r="C205">
        <f t="shared" si="3"/>
        <v>2004</v>
      </c>
      <c r="D205" t="str">
        <f>IF('sales_data_sample (2)'!E205&gt;5000,"High Sales","Low Sales")</f>
        <v>Low Sales</v>
      </c>
      <c r="E205" t="str">
        <f>IF('sales_data_sample (2)'!C205&gt;=50,"Bulk Order","Normal Order")</f>
        <v>Bulk Order</v>
      </c>
    </row>
    <row r="206" spans="1:5" x14ac:dyDescent="0.3">
      <c r="A206" s="2">
        <v>38146</v>
      </c>
      <c r="B206" t="str">
        <f>TEXT('sales_data_sample (2)'!F206,"MMM")</f>
        <v>Nov</v>
      </c>
      <c r="C206">
        <f t="shared" si="3"/>
        <v>2004</v>
      </c>
      <c r="D206" t="str">
        <f>IF('sales_data_sample (2)'!E206&gt;5000,"High Sales","Low Sales")</f>
        <v>Low Sales</v>
      </c>
      <c r="E206" t="str">
        <f>IF('sales_data_sample (2)'!C206&gt;=50,"Bulk Order","Normal Order")</f>
        <v>Bulk Order</v>
      </c>
    </row>
    <row r="207" spans="1:5" x14ac:dyDescent="0.3">
      <c r="A207" s="2">
        <v>38233</v>
      </c>
      <c r="B207" t="str">
        <f>TEXT('sales_data_sample (2)'!F207,"MMM")</f>
        <v>Nov</v>
      </c>
      <c r="C207">
        <f t="shared" si="3"/>
        <v>2004</v>
      </c>
      <c r="D207" t="str">
        <f>IF('sales_data_sample (2)'!E207&gt;5000,"High Sales","Low Sales")</f>
        <v>Low Sales</v>
      </c>
      <c r="E207" t="str">
        <f>IF('sales_data_sample (2)'!C207&gt;=50,"Bulk Order","Normal Order")</f>
        <v>Bulk Order</v>
      </c>
    </row>
    <row r="208" spans="1:5" x14ac:dyDescent="0.3">
      <c r="A208" s="2">
        <v>38308</v>
      </c>
      <c r="B208" t="str">
        <f>TEXT('sales_data_sample (2)'!F208,"MMM")</f>
        <v>Nov</v>
      </c>
      <c r="C208">
        <f t="shared" si="3"/>
        <v>2004</v>
      </c>
      <c r="D208" t="str">
        <f>IF('sales_data_sample (2)'!E208&gt;5000,"High Sales","Low Sales")</f>
        <v>Low Sales</v>
      </c>
      <c r="E208" t="str">
        <f>IF('sales_data_sample (2)'!C208&gt;=50,"Bulk Order","Normal Order")</f>
        <v>Bulk Order</v>
      </c>
    </row>
    <row r="209" spans="1:5" x14ac:dyDescent="0.3">
      <c r="A209" s="2">
        <v>38320</v>
      </c>
      <c r="B209" t="str">
        <f>TEXT('sales_data_sample (2)'!F209,"MMM")</f>
        <v>Nov</v>
      </c>
      <c r="C209">
        <f t="shared" si="3"/>
        <v>2004</v>
      </c>
      <c r="D209" t="str">
        <f>IF('sales_data_sample (2)'!E209&gt;5000,"High Sales","Low Sales")</f>
        <v>Low Sales</v>
      </c>
      <c r="E209" t="str">
        <f>IF('sales_data_sample (2)'!C209&gt;=50,"Bulk Order","Normal Order")</f>
        <v>Bulk Order</v>
      </c>
    </row>
    <row r="210" spans="1:5" x14ac:dyDescent="0.3">
      <c r="A210" s="2">
        <v>38399</v>
      </c>
      <c r="B210" t="str">
        <f>TEXT('sales_data_sample (2)'!F210,"MMM")</f>
        <v>Nov</v>
      </c>
      <c r="C210">
        <f t="shared" si="3"/>
        <v>2005</v>
      </c>
      <c r="D210" t="str">
        <f>IF('sales_data_sample (2)'!E210&gt;5000,"High Sales","Low Sales")</f>
        <v>High Sales</v>
      </c>
      <c r="E210" t="str">
        <f>IF('sales_data_sample (2)'!C210&gt;=50,"Bulk Order","Normal Order")</f>
        <v>Bulk Order</v>
      </c>
    </row>
    <row r="211" spans="1:5" x14ac:dyDescent="0.3">
      <c r="A211" s="2">
        <v>38502</v>
      </c>
      <c r="B211" t="str">
        <f>TEXT('sales_data_sample (2)'!F211,"MMM")</f>
        <v>Nov</v>
      </c>
      <c r="C211">
        <f t="shared" si="3"/>
        <v>2005</v>
      </c>
      <c r="D211" t="str">
        <f>IF('sales_data_sample (2)'!E211&gt;5000,"High Sales","Low Sales")</f>
        <v>Low Sales</v>
      </c>
      <c r="E211" t="str">
        <f>IF('sales_data_sample (2)'!C211&gt;=50,"Bulk Order","Normal Order")</f>
        <v>Bulk Order</v>
      </c>
    </row>
    <row r="212" spans="1:5" x14ac:dyDescent="0.3">
      <c r="A212" s="2">
        <v>37698</v>
      </c>
      <c r="B212" t="str">
        <f>TEXT('sales_data_sample (2)'!F212,"MMM")</f>
        <v>Nov</v>
      </c>
      <c r="C212">
        <f t="shared" si="3"/>
        <v>2003</v>
      </c>
      <c r="D212" t="str">
        <f>IF('sales_data_sample (2)'!E212&gt;5000,"High Sales","Low Sales")</f>
        <v>High Sales</v>
      </c>
      <c r="E212" t="str">
        <f>IF('sales_data_sample (2)'!C212&gt;=50,"Bulk Order","Normal Order")</f>
        <v>Bulk Order</v>
      </c>
    </row>
    <row r="213" spans="1:5" x14ac:dyDescent="0.3">
      <c r="A213" s="2">
        <v>37761</v>
      </c>
      <c r="B213" t="str">
        <f>TEXT('sales_data_sample (2)'!F213,"MMM")</f>
        <v>Nov</v>
      </c>
      <c r="C213">
        <f t="shared" si="3"/>
        <v>2003</v>
      </c>
      <c r="D213" t="str">
        <f>IF('sales_data_sample (2)'!E213&gt;5000,"High Sales","Low Sales")</f>
        <v>Low Sales</v>
      </c>
      <c r="E213" t="str">
        <f>IF('sales_data_sample (2)'!C213&gt;=50,"Bulk Order","Normal Order")</f>
        <v>Bulk Order</v>
      </c>
    </row>
    <row r="214" spans="1:5" x14ac:dyDescent="0.3">
      <c r="A214" s="2">
        <v>37812</v>
      </c>
      <c r="B214" t="str">
        <f>TEXT('sales_data_sample (2)'!F214,"MMM")</f>
        <v>Nov</v>
      </c>
      <c r="C214">
        <f t="shared" si="3"/>
        <v>2003</v>
      </c>
      <c r="D214" t="str">
        <f>IF('sales_data_sample (2)'!E214&gt;5000,"High Sales","Low Sales")</f>
        <v>Low Sales</v>
      </c>
      <c r="E214" t="str">
        <f>IF('sales_data_sample (2)'!C214&gt;=50,"Bulk Order","Normal Order")</f>
        <v>Bulk Order</v>
      </c>
    </row>
    <row r="215" spans="1:5" x14ac:dyDescent="0.3">
      <c r="A215" s="2">
        <v>37930</v>
      </c>
      <c r="B215" t="str">
        <f>TEXT('sales_data_sample (2)'!F215,"MMM")</f>
        <v>Nov</v>
      </c>
      <c r="C215">
        <f t="shared" si="3"/>
        <v>2003</v>
      </c>
      <c r="D215" t="str">
        <f>IF('sales_data_sample (2)'!E215&gt;5000,"High Sales","Low Sales")</f>
        <v>Low Sales</v>
      </c>
      <c r="E215" t="str">
        <f>IF('sales_data_sample (2)'!C215&gt;=50,"Bulk Order","Normal Order")</f>
        <v>Bulk Order</v>
      </c>
    </row>
    <row r="216" spans="1:5" x14ac:dyDescent="0.3">
      <c r="A216" s="2">
        <v>38043</v>
      </c>
      <c r="B216" t="str">
        <f>TEXT('sales_data_sample (2)'!F216,"MMM")</f>
        <v>Nov</v>
      </c>
      <c r="C216">
        <f t="shared" si="3"/>
        <v>2004</v>
      </c>
      <c r="D216" t="str">
        <f>IF('sales_data_sample (2)'!E216&gt;5000,"High Sales","Low Sales")</f>
        <v>Low Sales</v>
      </c>
      <c r="E216" t="str">
        <f>IF('sales_data_sample (2)'!C216&gt;=50,"Bulk Order","Normal Order")</f>
        <v>Bulk Order</v>
      </c>
    </row>
    <row r="217" spans="1:5" x14ac:dyDescent="0.3">
      <c r="A217" s="2">
        <v>38090</v>
      </c>
      <c r="B217" t="str">
        <f>TEXT('sales_data_sample (2)'!F217,"MMM")</f>
        <v>Nov</v>
      </c>
      <c r="C217">
        <f t="shared" si="3"/>
        <v>2004</v>
      </c>
      <c r="D217" t="str">
        <f>IF('sales_data_sample (2)'!E217&gt;5000,"High Sales","Low Sales")</f>
        <v>Low Sales</v>
      </c>
      <c r="E217" t="str">
        <f>IF('sales_data_sample (2)'!C217&gt;=50,"Bulk Order","Normal Order")</f>
        <v>Bulk Order</v>
      </c>
    </row>
    <row r="218" spans="1:5" x14ac:dyDescent="0.3">
      <c r="A218" s="2">
        <v>38231</v>
      </c>
      <c r="B218" t="str">
        <f>TEXT('sales_data_sample (2)'!F218,"MMM")</f>
        <v>Nov</v>
      </c>
      <c r="C218">
        <f t="shared" si="3"/>
        <v>2004</v>
      </c>
      <c r="D218" t="str">
        <f>IF('sales_data_sample (2)'!E218&gt;5000,"High Sales","Low Sales")</f>
        <v>Low Sales</v>
      </c>
      <c r="E218" t="str">
        <f>IF('sales_data_sample (2)'!C218&gt;=50,"Bulk Order","Normal Order")</f>
        <v>Bulk Order</v>
      </c>
    </row>
    <row r="219" spans="1:5" x14ac:dyDescent="0.3">
      <c r="A219" s="2">
        <v>38276</v>
      </c>
      <c r="B219" t="str">
        <f>TEXT('sales_data_sample (2)'!F219,"MMM")</f>
        <v>Nov</v>
      </c>
      <c r="C219">
        <f t="shared" si="3"/>
        <v>2004</v>
      </c>
      <c r="D219" t="str">
        <f>IF('sales_data_sample (2)'!E219&gt;5000,"High Sales","Low Sales")</f>
        <v>Low Sales</v>
      </c>
      <c r="E219" t="str">
        <f>IF('sales_data_sample (2)'!C219&gt;=50,"Bulk Order","Normal Order")</f>
        <v>Bulk Order</v>
      </c>
    </row>
    <row r="220" spans="1:5" x14ac:dyDescent="0.3">
      <c r="A220" s="2">
        <v>38315</v>
      </c>
      <c r="B220" t="str">
        <f>TEXT('sales_data_sample (2)'!F220,"MMM")</f>
        <v>Nov</v>
      </c>
      <c r="C220">
        <f t="shared" si="3"/>
        <v>2004</v>
      </c>
      <c r="D220" t="str">
        <f>IF('sales_data_sample (2)'!E220&gt;5000,"High Sales","Low Sales")</f>
        <v>Low Sales</v>
      </c>
      <c r="E220" t="str">
        <f>IF('sales_data_sample (2)'!C220&gt;=50,"Bulk Order","Normal Order")</f>
        <v>Bulk Order</v>
      </c>
    </row>
    <row r="221" spans="1:5" x14ac:dyDescent="0.3">
      <c r="A221" s="2">
        <v>38364</v>
      </c>
      <c r="B221" t="str">
        <f>TEXT('sales_data_sample (2)'!F221,"MMM")</f>
        <v>Nov</v>
      </c>
      <c r="C221">
        <f t="shared" si="3"/>
        <v>2005</v>
      </c>
      <c r="D221" t="str">
        <f>IF('sales_data_sample (2)'!E221&gt;5000,"High Sales","Low Sales")</f>
        <v>High Sales</v>
      </c>
      <c r="E221" t="str">
        <f>IF('sales_data_sample (2)'!C221&gt;=50,"Bulk Order","Normal Order")</f>
        <v>Bulk Order</v>
      </c>
    </row>
    <row r="222" spans="1:5" x14ac:dyDescent="0.3">
      <c r="A222" s="2">
        <v>38393</v>
      </c>
      <c r="B222" t="str">
        <f>TEXT('sales_data_sample (2)'!F222,"MMM")</f>
        <v>Nov</v>
      </c>
      <c r="C222">
        <f t="shared" si="3"/>
        <v>2005</v>
      </c>
      <c r="D222" t="str">
        <f>IF('sales_data_sample (2)'!E222&gt;5000,"High Sales","Low Sales")</f>
        <v>Low Sales</v>
      </c>
      <c r="E222" t="str">
        <f>IF('sales_data_sample (2)'!C222&gt;=50,"Bulk Order","Normal Order")</f>
        <v>Bulk Order</v>
      </c>
    </row>
    <row r="223" spans="1:5" x14ac:dyDescent="0.3">
      <c r="A223" s="2">
        <v>38464</v>
      </c>
      <c r="B223" t="str">
        <f>TEXT('sales_data_sample (2)'!F223,"MMM")</f>
        <v>Nov</v>
      </c>
      <c r="C223">
        <f t="shared" si="3"/>
        <v>2005</v>
      </c>
      <c r="D223" t="str">
        <f>IF('sales_data_sample (2)'!E223&gt;5000,"High Sales","Low Sales")</f>
        <v>Low Sales</v>
      </c>
      <c r="E223" t="str">
        <f>IF('sales_data_sample (2)'!C223&gt;=50,"Bulk Order","Normal Order")</f>
        <v>Bulk Order</v>
      </c>
    </row>
    <row r="224" spans="1:5" x14ac:dyDescent="0.3">
      <c r="A224" s="2">
        <v>37669</v>
      </c>
      <c r="B224" t="str">
        <f>TEXT('sales_data_sample (2)'!F224,"MMM")</f>
        <v>Nov</v>
      </c>
      <c r="C224">
        <f t="shared" si="3"/>
        <v>2003</v>
      </c>
      <c r="D224" t="str">
        <f>IF('sales_data_sample (2)'!E224&gt;5000,"High Sales","Low Sales")</f>
        <v>Low Sales</v>
      </c>
      <c r="E224" t="str">
        <f>IF('sales_data_sample (2)'!C224&gt;=50,"Bulk Order","Normal Order")</f>
        <v>Bulk Order</v>
      </c>
    </row>
    <row r="225" spans="1:5" x14ac:dyDescent="0.3">
      <c r="A225" s="2">
        <v>37788</v>
      </c>
      <c r="B225" t="str">
        <f>TEXT('sales_data_sample (2)'!F225,"MMM")</f>
        <v>Nov</v>
      </c>
      <c r="C225">
        <f t="shared" si="3"/>
        <v>2003</v>
      </c>
      <c r="D225" t="str">
        <f>IF('sales_data_sample (2)'!E225&gt;5000,"High Sales","Low Sales")</f>
        <v>Low Sales</v>
      </c>
      <c r="E225" t="str">
        <f>IF('sales_data_sample (2)'!C225&gt;=50,"Bulk Order","Normal Order")</f>
        <v>Normal Order</v>
      </c>
    </row>
    <row r="226" spans="1:5" x14ac:dyDescent="0.3">
      <c r="A226" s="2">
        <v>37952</v>
      </c>
      <c r="B226" t="str">
        <f>TEXT('sales_data_sample (2)'!F226,"MMM")</f>
        <v>Nov</v>
      </c>
      <c r="C226">
        <f t="shared" si="3"/>
        <v>2003</v>
      </c>
      <c r="D226" t="str">
        <f>IF('sales_data_sample (2)'!E226&gt;5000,"High Sales","Low Sales")</f>
        <v>Low Sales</v>
      </c>
      <c r="E226" t="str">
        <f>IF('sales_data_sample (2)'!C226&gt;=50,"Bulk Order","Normal Order")</f>
        <v>Bulk Order</v>
      </c>
    </row>
    <row r="227" spans="1:5" x14ac:dyDescent="0.3">
      <c r="A227" s="2">
        <v>38118</v>
      </c>
      <c r="B227" t="str">
        <f>TEXT('sales_data_sample (2)'!F227,"MMM")</f>
        <v>Nov</v>
      </c>
      <c r="C227">
        <f t="shared" si="3"/>
        <v>2004</v>
      </c>
      <c r="D227" t="str">
        <f>IF('sales_data_sample (2)'!E227&gt;5000,"High Sales","Low Sales")</f>
        <v>Low Sales</v>
      </c>
      <c r="E227" t="str">
        <f>IF('sales_data_sample (2)'!C227&gt;=50,"Bulk Order","Normal Order")</f>
        <v>Normal Order</v>
      </c>
    </row>
    <row r="228" spans="1:5" x14ac:dyDescent="0.3">
      <c r="A228" s="2">
        <v>38162</v>
      </c>
      <c r="B228" t="str">
        <f>TEXT('sales_data_sample (2)'!F228,"MMM")</f>
        <v>Nov</v>
      </c>
      <c r="C228">
        <f t="shared" si="3"/>
        <v>2004</v>
      </c>
      <c r="D228" t="str">
        <f>IF('sales_data_sample (2)'!E228&gt;5000,"High Sales","Low Sales")</f>
        <v>High Sales</v>
      </c>
      <c r="E228" t="str">
        <f>IF('sales_data_sample (2)'!C228&gt;=50,"Bulk Order","Normal Order")</f>
        <v>Bulk Order</v>
      </c>
    </row>
    <row r="229" spans="1:5" x14ac:dyDescent="0.3">
      <c r="A229" s="2">
        <v>38189</v>
      </c>
      <c r="B229" t="str">
        <f>TEXT('sales_data_sample (2)'!F229,"MMM")</f>
        <v>Nov</v>
      </c>
      <c r="C229">
        <f t="shared" si="3"/>
        <v>2004</v>
      </c>
      <c r="D229" t="str">
        <f>IF('sales_data_sample (2)'!E229&gt;5000,"High Sales","Low Sales")</f>
        <v>Low Sales</v>
      </c>
      <c r="E229" t="str">
        <f>IF('sales_data_sample (2)'!C229&gt;=50,"Bulk Order","Normal Order")</f>
        <v>Bulk Order</v>
      </c>
    </row>
    <row r="230" spans="1:5" x14ac:dyDescent="0.3">
      <c r="A230" s="2">
        <v>38220</v>
      </c>
      <c r="B230" t="str">
        <f>TEXT('sales_data_sample (2)'!F230,"MMM")</f>
        <v>Nov</v>
      </c>
      <c r="C230">
        <f t="shared" si="3"/>
        <v>2004</v>
      </c>
      <c r="D230" t="str">
        <f>IF('sales_data_sample (2)'!E230&gt;5000,"High Sales","Low Sales")</f>
        <v>Low Sales</v>
      </c>
      <c r="E230" t="str">
        <f>IF('sales_data_sample (2)'!C230&gt;=50,"Bulk Order","Normal Order")</f>
        <v>Bulk Order</v>
      </c>
    </row>
    <row r="231" spans="1:5" x14ac:dyDescent="0.3">
      <c r="A231" s="2">
        <v>38245</v>
      </c>
      <c r="B231" t="str">
        <f>TEXT('sales_data_sample (2)'!F231,"MMM")</f>
        <v>Nov</v>
      </c>
      <c r="C231">
        <f t="shared" si="3"/>
        <v>2004</v>
      </c>
      <c r="D231" t="str">
        <f>IF('sales_data_sample (2)'!E231&gt;5000,"High Sales","Low Sales")</f>
        <v>High Sales</v>
      </c>
      <c r="E231" t="str">
        <f>IF('sales_data_sample (2)'!C231&gt;=50,"Bulk Order","Normal Order")</f>
        <v>Bulk Order</v>
      </c>
    </row>
    <row r="232" spans="1:5" x14ac:dyDescent="0.3">
      <c r="A232" s="2">
        <v>38301</v>
      </c>
      <c r="B232" t="str">
        <f>TEXT('sales_data_sample (2)'!F232,"MMM")</f>
        <v>Nov</v>
      </c>
      <c r="C232">
        <f t="shared" si="3"/>
        <v>2004</v>
      </c>
      <c r="D232" t="str">
        <f>IF('sales_data_sample (2)'!E232&gt;5000,"High Sales","Low Sales")</f>
        <v>High Sales</v>
      </c>
      <c r="E232" t="str">
        <f>IF('sales_data_sample (2)'!C232&gt;=50,"Bulk Order","Normal Order")</f>
        <v>Bulk Order</v>
      </c>
    </row>
    <row r="233" spans="1:5" x14ac:dyDescent="0.3">
      <c r="A233" s="2">
        <v>38313</v>
      </c>
      <c r="B233" t="str">
        <f>TEXT('sales_data_sample (2)'!F233,"MMM")</f>
        <v>Nov</v>
      </c>
      <c r="C233">
        <f t="shared" si="3"/>
        <v>2004</v>
      </c>
      <c r="D233" t="str">
        <f>IF('sales_data_sample (2)'!E233&gt;5000,"High Sales","Low Sales")</f>
        <v>High Sales</v>
      </c>
      <c r="E233" t="str">
        <f>IF('sales_data_sample (2)'!C233&gt;=50,"Bulk Order","Normal Order")</f>
        <v>Bulk Order</v>
      </c>
    </row>
    <row r="234" spans="1:5" x14ac:dyDescent="0.3">
      <c r="A234" s="2">
        <v>38324</v>
      </c>
      <c r="B234" t="str">
        <f>TEXT('sales_data_sample (2)'!F234,"MMM")</f>
        <v>Nov</v>
      </c>
      <c r="C234">
        <f t="shared" si="3"/>
        <v>2004</v>
      </c>
      <c r="D234" t="str">
        <f>IF('sales_data_sample (2)'!E234&gt;5000,"High Sales","Low Sales")</f>
        <v>High Sales</v>
      </c>
      <c r="E234" t="str">
        <f>IF('sales_data_sample (2)'!C234&gt;=50,"Bulk Order","Normal Order")</f>
        <v>Bulk Order</v>
      </c>
    </row>
    <row r="235" spans="1:5" x14ac:dyDescent="0.3">
      <c r="A235" s="2">
        <v>38412</v>
      </c>
      <c r="B235" t="str">
        <f>TEXT('sales_data_sample (2)'!F235,"MMM")</f>
        <v>Nov</v>
      </c>
      <c r="C235">
        <f t="shared" si="3"/>
        <v>2005</v>
      </c>
      <c r="D235" t="str">
        <f>IF('sales_data_sample (2)'!E235&gt;5000,"High Sales","Low Sales")</f>
        <v>Low Sales</v>
      </c>
      <c r="E235" t="str">
        <f>IF('sales_data_sample (2)'!C235&gt;=50,"Bulk Order","Normal Order")</f>
        <v>Bulk Order</v>
      </c>
    </row>
    <row r="236" spans="1:5" x14ac:dyDescent="0.3">
      <c r="A236" s="2">
        <v>38441</v>
      </c>
      <c r="B236" t="str">
        <f>TEXT('sales_data_sample (2)'!F236,"MMM")</f>
        <v>Nov</v>
      </c>
      <c r="C236">
        <f t="shared" si="3"/>
        <v>2005</v>
      </c>
      <c r="D236" t="str">
        <f>IF('sales_data_sample (2)'!E236&gt;5000,"High Sales","Low Sales")</f>
        <v>Low Sales</v>
      </c>
      <c r="E236" t="str">
        <f>IF('sales_data_sample (2)'!C236&gt;=50,"Bulk Order","Normal Order")</f>
        <v>Normal Order</v>
      </c>
    </row>
    <row r="237" spans="1:5" x14ac:dyDescent="0.3">
      <c r="A237" s="2">
        <v>38482</v>
      </c>
      <c r="B237" t="str">
        <f>TEXT('sales_data_sample (2)'!F237,"MMM")</f>
        <v>Nov</v>
      </c>
      <c r="C237">
        <f t="shared" si="3"/>
        <v>2005</v>
      </c>
      <c r="D237" t="str">
        <f>IF('sales_data_sample (2)'!E237&gt;5000,"High Sales","Low Sales")</f>
        <v>Low Sales</v>
      </c>
      <c r="E237" t="str">
        <f>IF('sales_data_sample (2)'!C237&gt;=50,"Bulk Order","Normal Order")</f>
        <v>Bulk Order</v>
      </c>
    </row>
    <row r="238" spans="1:5" x14ac:dyDescent="0.3">
      <c r="A238" s="2">
        <v>37627</v>
      </c>
      <c r="B238" t="str">
        <f>TEXT('sales_data_sample (2)'!F238,"MMM")</f>
        <v>Nov</v>
      </c>
      <c r="C238">
        <f t="shared" si="3"/>
        <v>2003</v>
      </c>
      <c r="D238" t="str">
        <f>IF('sales_data_sample (2)'!E238&gt;5000,"High Sales","Low Sales")</f>
        <v>Low Sales</v>
      </c>
      <c r="E238" t="str">
        <f>IF('sales_data_sample (2)'!C238&gt;=50,"Bulk Order","Normal Order")</f>
        <v>Bulk Order</v>
      </c>
    </row>
    <row r="239" spans="1:5" x14ac:dyDescent="0.3">
      <c r="A239" s="2">
        <v>37762</v>
      </c>
      <c r="B239" t="str">
        <f>TEXT('sales_data_sample (2)'!F239,"MMM")</f>
        <v>Dec</v>
      </c>
      <c r="C239">
        <f t="shared" si="3"/>
        <v>2003</v>
      </c>
      <c r="D239" t="str">
        <f>IF('sales_data_sample (2)'!E239&gt;5000,"High Sales","Low Sales")</f>
        <v>Low Sales</v>
      </c>
      <c r="E239" t="str">
        <f>IF('sales_data_sample (2)'!C239&gt;=50,"Bulk Order","Normal Order")</f>
        <v>Bulk Order</v>
      </c>
    </row>
    <row r="240" spans="1:5" x14ac:dyDescent="0.3">
      <c r="A240" s="2">
        <v>38012</v>
      </c>
      <c r="B240" t="str">
        <f>TEXT('sales_data_sample (2)'!F240,"MMM")</f>
        <v>Dec</v>
      </c>
      <c r="C240">
        <f t="shared" si="3"/>
        <v>2004</v>
      </c>
      <c r="D240" t="str">
        <f>IF('sales_data_sample (2)'!E240&gt;5000,"High Sales","Low Sales")</f>
        <v>Low Sales</v>
      </c>
      <c r="E240" t="str">
        <f>IF('sales_data_sample (2)'!C240&gt;=50,"Bulk Order","Normal Order")</f>
        <v>Bulk Order</v>
      </c>
    </row>
    <row r="241" spans="1:5" x14ac:dyDescent="0.3">
      <c r="A241" s="2">
        <v>37900</v>
      </c>
      <c r="B241" t="str">
        <f>TEXT('sales_data_sample (2)'!F241,"MMM")</f>
        <v>Dec</v>
      </c>
      <c r="C241">
        <f t="shared" si="3"/>
        <v>2003</v>
      </c>
      <c r="D241" t="str">
        <f>IF('sales_data_sample (2)'!E241&gt;5000,"High Sales","Low Sales")</f>
        <v>Low Sales</v>
      </c>
      <c r="E241" t="str">
        <f>IF('sales_data_sample (2)'!C241&gt;=50,"Bulk Order","Normal Order")</f>
        <v>Bulk Order</v>
      </c>
    </row>
    <row r="242" spans="1:5" x14ac:dyDescent="0.3">
      <c r="A242" s="2">
        <v>38316</v>
      </c>
      <c r="B242" t="str">
        <f>TEXT('sales_data_sample (2)'!F242,"MMM")</f>
        <v>Dec</v>
      </c>
      <c r="C242">
        <f t="shared" si="3"/>
        <v>2004</v>
      </c>
      <c r="D242" t="str">
        <f>IF('sales_data_sample (2)'!E242&gt;5000,"High Sales","Low Sales")</f>
        <v>Low Sales</v>
      </c>
      <c r="E242" t="str">
        <f>IF('sales_data_sample (2)'!C242&gt;=50,"Bulk Order","Normal Order")</f>
        <v>Bulk Order</v>
      </c>
    </row>
    <row r="243" spans="1:5" x14ac:dyDescent="0.3">
      <c r="A243" s="2">
        <v>38393</v>
      </c>
      <c r="B243" t="str">
        <f>TEXT('sales_data_sample (2)'!F243,"MMM")</f>
        <v>Dec</v>
      </c>
      <c r="C243">
        <f t="shared" si="3"/>
        <v>2005</v>
      </c>
      <c r="D243" t="str">
        <f>IF('sales_data_sample (2)'!E243&gt;5000,"High Sales","Low Sales")</f>
        <v>Low Sales</v>
      </c>
      <c r="E243" t="str">
        <f>IF('sales_data_sample (2)'!C243&gt;=50,"Bulk Order","Normal Order")</f>
        <v>Bulk Order</v>
      </c>
    </row>
    <row r="244" spans="1:5" x14ac:dyDescent="0.3">
      <c r="A244" s="2">
        <v>38501</v>
      </c>
      <c r="B244" t="str">
        <f>TEXT('sales_data_sample (2)'!F244,"MMM")</f>
        <v>Dec</v>
      </c>
      <c r="C244">
        <f t="shared" si="3"/>
        <v>2005</v>
      </c>
      <c r="D244" t="str">
        <f>IF('sales_data_sample (2)'!E244&gt;5000,"High Sales","Low Sales")</f>
        <v>Low Sales</v>
      </c>
      <c r="E244" t="str">
        <f>IF('sales_data_sample (2)'!C244&gt;=50,"Bulk Order","Normal Order")</f>
        <v>Bulk Order</v>
      </c>
    </row>
    <row r="245" spans="1:5" x14ac:dyDescent="0.3">
      <c r="A245" s="2">
        <v>38362</v>
      </c>
      <c r="B245" t="str">
        <f>TEXT('sales_data_sample (2)'!F245,"MMM")</f>
        <v>Dec</v>
      </c>
      <c r="C245">
        <f t="shared" si="3"/>
        <v>2005</v>
      </c>
      <c r="D245" t="str">
        <f>IF('sales_data_sample (2)'!E245&gt;5000,"High Sales","Low Sales")</f>
        <v>Low Sales</v>
      </c>
      <c r="E245" t="str">
        <f>IF('sales_data_sample (2)'!C245&gt;=50,"Bulk Order","Normal Order")</f>
        <v>Bulk Order</v>
      </c>
    </row>
    <row r="246" spans="1:5" x14ac:dyDescent="0.3">
      <c r="A246" s="2">
        <v>38266</v>
      </c>
      <c r="B246" t="str">
        <f>TEXT('sales_data_sample (2)'!F246,"MMM")</f>
        <v>Dec</v>
      </c>
      <c r="C246">
        <f t="shared" si="3"/>
        <v>2004</v>
      </c>
      <c r="D246" t="str">
        <f>IF('sales_data_sample (2)'!E246&gt;5000,"High Sales","Low Sales")</f>
        <v>High Sales</v>
      </c>
      <c r="E246" t="str">
        <f>IF('sales_data_sample (2)'!C246&gt;=50,"Bulk Order","Normal Order")</f>
        <v>Bulk Order</v>
      </c>
    </row>
    <row r="247" spans="1:5" x14ac:dyDescent="0.3">
      <c r="A247" s="2">
        <v>38405</v>
      </c>
      <c r="B247" t="str">
        <f>TEXT('sales_data_sample (2)'!F247,"MMM")</f>
        <v>Dec</v>
      </c>
      <c r="C247">
        <f t="shared" si="3"/>
        <v>2005</v>
      </c>
      <c r="D247" t="str">
        <f>IF('sales_data_sample (2)'!E247&gt;5000,"High Sales","Low Sales")</f>
        <v>Low Sales</v>
      </c>
      <c r="E247" t="str">
        <f>IF('sales_data_sample (2)'!C247&gt;=50,"Bulk Order","Normal Order")</f>
        <v>Bulk Order</v>
      </c>
    </row>
    <row r="248" spans="1:5" x14ac:dyDescent="0.3">
      <c r="A248" s="2">
        <v>37630</v>
      </c>
      <c r="B248" t="str">
        <f>TEXT('sales_data_sample (2)'!F248,"MMM")</f>
        <v>Dec</v>
      </c>
      <c r="C248">
        <f t="shared" si="3"/>
        <v>2003</v>
      </c>
      <c r="D248" t="str">
        <f>IF('sales_data_sample (2)'!E248&gt;5000,"High Sales","Low Sales")</f>
        <v>Low Sales</v>
      </c>
      <c r="E248" t="str">
        <f>IF('sales_data_sample (2)'!C248&gt;=50,"Bulk Order","Normal Order")</f>
        <v>Bulk Order</v>
      </c>
    </row>
    <row r="249" spans="1:5" x14ac:dyDescent="0.3">
      <c r="A249" s="2">
        <v>38103</v>
      </c>
      <c r="B249" t="str">
        <f>TEXT('sales_data_sample (2)'!F249,"MMM")</f>
        <v>Dec</v>
      </c>
      <c r="C249">
        <f t="shared" si="3"/>
        <v>2004</v>
      </c>
      <c r="D249" t="str">
        <f>IF('sales_data_sample (2)'!E249&gt;5000,"High Sales","Low Sales")</f>
        <v>Low Sales</v>
      </c>
      <c r="E249" t="str">
        <f>IF('sales_data_sample (2)'!C249&gt;=50,"Bulk Order","Normal Order")</f>
        <v>Bulk Order</v>
      </c>
    </row>
    <row r="250" spans="1:5" x14ac:dyDescent="0.3">
      <c r="A250" s="2">
        <v>38465</v>
      </c>
      <c r="B250" t="str">
        <f>TEXT('sales_data_sample (2)'!F250,"MMM")</f>
        <v>Jan</v>
      </c>
      <c r="C250">
        <f t="shared" si="3"/>
        <v>2005</v>
      </c>
      <c r="D250" t="str">
        <f>IF('sales_data_sample (2)'!E250&gt;5000,"High Sales","Low Sales")</f>
        <v>Low Sales</v>
      </c>
      <c r="E250" t="str">
        <f>IF('sales_data_sample (2)'!C250&gt;=50,"Bulk Order","Normal Order")</f>
        <v>Bulk Order</v>
      </c>
    </row>
    <row r="251" spans="1:5" x14ac:dyDescent="0.3">
      <c r="A251" s="2">
        <v>37799</v>
      </c>
      <c r="B251" t="str">
        <f>TEXT('sales_data_sample (2)'!F251,"MMM")</f>
        <v>Jan</v>
      </c>
      <c r="C251">
        <f t="shared" si="3"/>
        <v>2003</v>
      </c>
      <c r="D251" t="str">
        <f>IF('sales_data_sample (2)'!E251&gt;5000,"High Sales","Low Sales")</f>
        <v>Low Sales</v>
      </c>
      <c r="E251" t="str">
        <f>IF('sales_data_sample (2)'!C251&gt;=50,"Bulk Order","Normal Order")</f>
        <v>Bulk Order</v>
      </c>
    </row>
    <row r="252" spans="1:5" x14ac:dyDescent="0.3">
      <c r="A252" s="2">
        <v>38079</v>
      </c>
      <c r="B252" t="str">
        <f>TEXT('sales_data_sample (2)'!F252,"MMM")</f>
        <v>Jan</v>
      </c>
      <c r="C252">
        <f t="shared" si="3"/>
        <v>2004</v>
      </c>
      <c r="D252" t="str">
        <f>IF('sales_data_sample (2)'!E252&gt;5000,"High Sales","Low Sales")</f>
        <v>Low Sales</v>
      </c>
      <c r="E252" t="str">
        <f>IF('sales_data_sample (2)'!C252&gt;=50,"Bulk Order","Normal Order")</f>
        <v>Normal Order</v>
      </c>
    </row>
    <row r="253" spans="1:5" x14ac:dyDescent="0.3">
      <c r="A253" s="2">
        <v>38246</v>
      </c>
      <c r="B253" t="str">
        <f>TEXT('sales_data_sample (2)'!F253,"MMM")</f>
        <v>Jan</v>
      </c>
      <c r="C253">
        <f t="shared" si="3"/>
        <v>2004</v>
      </c>
      <c r="D253" t="str">
        <f>IF('sales_data_sample (2)'!E253&gt;5000,"High Sales","Low Sales")</f>
        <v>Low Sales</v>
      </c>
      <c r="E253" t="str">
        <f>IF('sales_data_sample (2)'!C253&gt;=50,"Bulk Order","Normal Order")</f>
        <v>Bulk Order</v>
      </c>
    </row>
    <row r="254" spans="1:5" x14ac:dyDescent="0.3">
      <c r="A254" s="2">
        <v>38325</v>
      </c>
      <c r="B254" t="str">
        <f>TEXT('sales_data_sample (2)'!F254,"MMM")</f>
        <v>Jan</v>
      </c>
      <c r="C254">
        <f t="shared" si="3"/>
        <v>2004</v>
      </c>
      <c r="D254" t="str">
        <f>IF('sales_data_sample (2)'!E254&gt;5000,"High Sales","Low Sales")</f>
        <v>Low Sales</v>
      </c>
      <c r="E254" t="str">
        <f>IF('sales_data_sample (2)'!C254&gt;=50,"Bulk Order","Normal Order")</f>
        <v>Bulk Order</v>
      </c>
    </row>
    <row r="255" spans="1:5" x14ac:dyDescent="0.3">
      <c r="A255" s="2">
        <v>38445</v>
      </c>
      <c r="B255" t="str">
        <f>TEXT('sales_data_sample (2)'!F255,"MMM")</f>
        <v>Jan</v>
      </c>
      <c r="C255">
        <f t="shared" si="3"/>
        <v>2005</v>
      </c>
      <c r="D255" t="str">
        <f>IF('sales_data_sample (2)'!E255&gt;5000,"High Sales","Low Sales")</f>
        <v>Low Sales</v>
      </c>
      <c r="E255" t="str">
        <f>IF('sales_data_sample (2)'!C255&gt;=50,"Bulk Order","Normal Order")</f>
        <v>Bulk Order</v>
      </c>
    </row>
    <row r="256" spans="1:5" x14ac:dyDescent="0.3">
      <c r="A256" s="2">
        <v>38142</v>
      </c>
      <c r="B256" t="str">
        <f>TEXT('sales_data_sample (2)'!F256,"MMM")</f>
        <v>Jan</v>
      </c>
      <c r="C256">
        <f t="shared" si="3"/>
        <v>2004</v>
      </c>
      <c r="D256" t="str">
        <f>IF('sales_data_sample (2)'!E256&gt;5000,"High Sales","Low Sales")</f>
        <v>Low Sales</v>
      </c>
      <c r="E256" t="str">
        <f>IF('sales_data_sample (2)'!C256&gt;=50,"Bulk Order","Normal Order")</f>
        <v>Bulk Order</v>
      </c>
    </row>
    <row r="257" spans="1:5" x14ac:dyDescent="0.3">
      <c r="A257" s="2">
        <v>38501</v>
      </c>
      <c r="B257" t="str">
        <f>TEXT('sales_data_sample (2)'!F257,"MMM")</f>
        <v>Jan</v>
      </c>
      <c r="C257">
        <f t="shared" si="3"/>
        <v>2005</v>
      </c>
      <c r="D257" t="str">
        <f>IF('sales_data_sample (2)'!E257&gt;5000,"High Sales","Low Sales")</f>
        <v>Low Sales</v>
      </c>
      <c r="E257" t="str">
        <f>IF('sales_data_sample (2)'!C257&gt;=50,"Bulk Order","Normal Order")</f>
        <v>Bulk Order</v>
      </c>
    </row>
    <row r="258" spans="1:5" x14ac:dyDescent="0.3">
      <c r="A258" s="2">
        <v>38152</v>
      </c>
      <c r="B258" t="str">
        <f>TEXT('sales_data_sample (2)'!F258,"MMM")</f>
        <v>Jan</v>
      </c>
      <c r="C258">
        <f t="shared" si="3"/>
        <v>2004</v>
      </c>
      <c r="D258" t="str">
        <f>IF('sales_data_sample (2)'!E258&gt;5000,"High Sales","Low Sales")</f>
        <v>Low Sales</v>
      </c>
      <c r="E258" t="str">
        <f>IF('sales_data_sample (2)'!C258&gt;=50,"Bulk Order","Normal Order")</f>
        <v>Bulk Order</v>
      </c>
    </row>
    <row r="259" spans="1:5" x14ac:dyDescent="0.3">
      <c r="A259" s="2">
        <v>38502</v>
      </c>
      <c r="B259" t="str">
        <f>TEXT('sales_data_sample (2)'!F259,"MMM")</f>
        <v>Jan</v>
      </c>
      <c r="C259">
        <f t="shared" ref="C259:C308" si="4">YEAR(A259)</f>
        <v>2005</v>
      </c>
      <c r="D259" t="str">
        <f>IF('sales_data_sample (2)'!E259&gt;5000,"High Sales","Low Sales")</f>
        <v>Low Sales</v>
      </c>
      <c r="E259" t="str">
        <f>IF('sales_data_sample (2)'!C259&gt;=50,"Bulk Order","Normal Order")</f>
        <v>Bulk Order</v>
      </c>
    </row>
    <row r="260" spans="1:5" x14ac:dyDescent="0.3">
      <c r="A260" s="2">
        <v>38184</v>
      </c>
      <c r="B260" t="str">
        <f>TEXT('sales_data_sample (2)'!F260,"MMM")</f>
        <v>Jan</v>
      </c>
      <c r="C260">
        <f t="shared" si="4"/>
        <v>2004</v>
      </c>
      <c r="D260" t="str">
        <f>IF('sales_data_sample (2)'!E260&gt;5000,"High Sales","Low Sales")</f>
        <v>High Sales</v>
      </c>
      <c r="E260" t="str">
        <f>IF('sales_data_sample (2)'!C260&gt;=50,"Bulk Order","Normal Order")</f>
        <v>Bulk Order</v>
      </c>
    </row>
    <row r="261" spans="1:5" x14ac:dyDescent="0.3">
      <c r="A261" s="2">
        <v>38421</v>
      </c>
      <c r="B261" t="str">
        <f>TEXT('sales_data_sample (2)'!F261,"MMM")</f>
        <v>Jan</v>
      </c>
      <c r="C261">
        <f t="shared" si="4"/>
        <v>2005</v>
      </c>
      <c r="D261" t="str">
        <f>IF('sales_data_sample (2)'!E261&gt;5000,"High Sales","Low Sales")</f>
        <v>Low Sales</v>
      </c>
      <c r="E261" t="str">
        <f>IF('sales_data_sample (2)'!C261&gt;=50,"Bulk Order","Normal Order")</f>
        <v>Bulk Order</v>
      </c>
    </row>
    <row r="262" spans="1:5" x14ac:dyDescent="0.3">
      <c r="A262" s="2">
        <v>37788</v>
      </c>
      <c r="B262" t="str">
        <f>TEXT('sales_data_sample (2)'!F262,"MMM")</f>
        <v>Feb</v>
      </c>
      <c r="C262">
        <f t="shared" si="4"/>
        <v>2003</v>
      </c>
      <c r="D262" t="str">
        <f>IF('sales_data_sample (2)'!E262&gt;5000,"High Sales","Low Sales")</f>
        <v>High Sales</v>
      </c>
      <c r="E262" t="str">
        <f>IF('sales_data_sample (2)'!C262&gt;=50,"Bulk Order","Normal Order")</f>
        <v>Bulk Order</v>
      </c>
    </row>
    <row r="263" spans="1:5" x14ac:dyDescent="0.3">
      <c r="A263" s="2">
        <v>37778</v>
      </c>
      <c r="B263" t="str">
        <f>TEXT('sales_data_sample (2)'!F263,"MMM")</f>
        <v>Feb</v>
      </c>
      <c r="C263">
        <f t="shared" si="4"/>
        <v>2003</v>
      </c>
      <c r="D263" t="str">
        <f>IF('sales_data_sample (2)'!E263&gt;5000,"High Sales","Low Sales")</f>
        <v>Low Sales</v>
      </c>
      <c r="E263" t="str">
        <f>IF('sales_data_sample (2)'!C263&gt;=50,"Bulk Order","Normal Order")</f>
        <v>Normal Order</v>
      </c>
    </row>
    <row r="264" spans="1:5" x14ac:dyDescent="0.3">
      <c r="A264" s="2">
        <v>37915</v>
      </c>
      <c r="B264" t="str">
        <f>TEXT('sales_data_sample (2)'!F264,"MMM")</f>
        <v>Feb</v>
      </c>
      <c r="C264">
        <f t="shared" si="4"/>
        <v>2003</v>
      </c>
      <c r="D264" t="str">
        <f>IF('sales_data_sample (2)'!E264&gt;5000,"High Sales","Low Sales")</f>
        <v>Low Sales</v>
      </c>
      <c r="E264" t="str">
        <f>IF('sales_data_sample (2)'!C264&gt;=50,"Bulk Order","Normal Order")</f>
        <v>Bulk Order</v>
      </c>
    </row>
    <row r="265" spans="1:5" x14ac:dyDescent="0.3">
      <c r="A265" s="2">
        <v>37932</v>
      </c>
      <c r="B265" t="str">
        <f>TEXT('sales_data_sample (2)'!F265,"MMM")</f>
        <v>Feb</v>
      </c>
      <c r="C265">
        <f t="shared" si="4"/>
        <v>2003</v>
      </c>
      <c r="D265" t="str">
        <f>IF('sales_data_sample (2)'!E265&gt;5000,"High Sales","Low Sales")</f>
        <v>Low Sales</v>
      </c>
      <c r="E265" t="str">
        <f>IF('sales_data_sample (2)'!C265&gt;=50,"Bulk Order","Normal Order")</f>
        <v>Bulk Order</v>
      </c>
    </row>
    <row r="266" spans="1:5" x14ac:dyDescent="0.3">
      <c r="A266" s="2">
        <v>38035</v>
      </c>
      <c r="B266" t="str">
        <f>TEXT('sales_data_sample (2)'!F266,"MMM")</f>
        <v>Feb</v>
      </c>
      <c r="C266">
        <f t="shared" si="4"/>
        <v>2004</v>
      </c>
      <c r="D266" t="str">
        <f>IF('sales_data_sample (2)'!E266&gt;5000,"High Sales","Low Sales")</f>
        <v>Low Sales</v>
      </c>
      <c r="E266" t="str">
        <f>IF('sales_data_sample (2)'!C266&gt;=50,"Bulk Order","Normal Order")</f>
        <v>Normal Order</v>
      </c>
    </row>
    <row r="267" spans="1:5" x14ac:dyDescent="0.3">
      <c r="A267" s="2">
        <v>38066</v>
      </c>
      <c r="B267" t="str">
        <f>TEXT('sales_data_sample (2)'!F267,"MMM")</f>
        <v>Feb</v>
      </c>
      <c r="C267">
        <f t="shared" si="4"/>
        <v>2004</v>
      </c>
      <c r="D267" t="str">
        <f>IF('sales_data_sample (2)'!E267&gt;5000,"High Sales","Low Sales")</f>
        <v>High Sales</v>
      </c>
      <c r="E267" t="str">
        <f>IF('sales_data_sample (2)'!C267&gt;=50,"Bulk Order","Normal Order")</f>
        <v>Bulk Order</v>
      </c>
    </row>
    <row r="268" spans="1:5" x14ac:dyDescent="0.3">
      <c r="A268" s="2">
        <v>38426</v>
      </c>
      <c r="B268" t="str">
        <f>TEXT('sales_data_sample (2)'!F268,"MMM")</f>
        <v>Feb</v>
      </c>
      <c r="C268">
        <f t="shared" si="4"/>
        <v>2005</v>
      </c>
      <c r="D268" t="str">
        <f>IF('sales_data_sample (2)'!E268&gt;5000,"High Sales","Low Sales")</f>
        <v>Low Sales</v>
      </c>
      <c r="E268" t="str">
        <f>IF('sales_data_sample (2)'!C268&gt;=50,"Bulk Order","Normal Order")</f>
        <v>Bulk Order</v>
      </c>
    </row>
    <row r="269" spans="1:5" x14ac:dyDescent="0.3">
      <c r="A269" s="2">
        <v>38300</v>
      </c>
      <c r="B269" t="str">
        <f>TEXT('sales_data_sample (2)'!F269,"MMM")</f>
        <v>Feb</v>
      </c>
      <c r="C269">
        <f t="shared" si="4"/>
        <v>2004</v>
      </c>
      <c r="D269" t="str">
        <f>IF('sales_data_sample (2)'!E269&gt;5000,"High Sales","Low Sales")</f>
        <v>High Sales</v>
      </c>
      <c r="E269" t="str">
        <f>IF('sales_data_sample (2)'!C269&gt;=50,"Bulk Order","Normal Order")</f>
        <v>Bulk Order</v>
      </c>
    </row>
    <row r="270" spans="1:5" x14ac:dyDescent="0.3">
      <c r="A270" s="2">
        <v>38133</v>
      </c>
      <c r="B270" t="str">
        <f>TEXT('sales_data_sample (2)'!F270,"MMM")</f>
        <v>Feb</v>
      </c>
      <c r="C270">
        <f t="shared" si="4"/>
        <v>2004</v>
      </c>
      <c r="D270" t="str">
        <f>IF('sales_data_sample (2)'!E270&gt;5000,"High Sales","Low Sales")</f>
        <v>Low Sales</v>
      </c>
      <c r="E270" t="str">
        <f>IF('sales_data_sample (2)'!C270&gt;=50,"Bulk Order","Normal Order")</f>
        <v>Bulk Order</v>
      </c>
    </row>
    <row r="271" spans="1:5" x14ac:dyDescent="0.3">
      <c r="A271" s="2">
        <v>38170</v>
      </c>
      <c r="B271" t="str">
        <f>TEXT('sales_data_sample (2)'!F271,"MMM")</f>
        <v>Feb</v>
      </c>
      <c r="C271">
        <f t="shared" si="4"/>
        <v>2004</v>
      </c>
      <c r="D271" t="str">
        <f>IF('sales_data_sample (2)'!E271&gt;5000,"High Sales","Low Sales")</f>
        <v>Low Sales</v>
      </c>
      <c r="E271" t="str">
        <f>IF('sales_data_sample (2)'!C271&gt;=50,"Bulk Order","Normal Order")</f>
        <v>Bulk Order</v>
      </c>
    </row>
    <row r="272" spans="1:5" x14ac:dyDescent="0.3">
      <c r="A272" s="2">
        <v>38237</v>
      </c>
      <c r="B272" t="str">
        <f>TEXT('sales_data_sample (2)'!F272,"MMM")</f>
        <v>Feb</v>
      </c>
      <c r="C272">
        <f t="shared" si="4"/>
        <v>2004</v>
      </c>
      <c r="D272" t="str">
        <f>IF('sales_data_sample (2)'!E272&gt;5000,"High Sales","Low Sales")</f>
        <v>Low Sales</v>
      </c>
      <c r="E272" t="str">
        <f>IF('sales_data_sample (2)'!C272&gt;=50,"Bulk Order","Normal Order")</f>
        <v>Bulk Order</v>
      </c>
    </row>
    <row r="273" spans="1:5" x14ac:dyDescent="0.3">
      <c r="A273" s="2">
        <v>38296</v>
      </c>
      <c r="B273" t="str">
        <f>TEXT('sales_data_sample (2)'!F273,"MMM")</f>
        <v>Feb</v>
      </c>
      <c r="C273">
        <f t="shared" si="4"/>
        <v>2004</v>
      </c>
      <c r="D273" t="str">
        <f>IF('sales_data_sample (2)'!E273&gt;5000,"High Sales","Low Sales")</f>
        <v>Low Sales</v>
      </c>
      <c r="E273" t="str">
        <f>IF('sales_data_sample (2)'!C273&gt;=50,"Bulk Order","Normal Order")</f>
        <v>Bulk Order</v>
      </c>
    </row>
    <row r="274" spans="1:5" x14ac:dyDescent="0.3">
      <c r="A274" s="2">
        <v>38307</v>
      </c>
      <c r="B274" t="str">
        <f>TEXT('sales_data_sample (2)'!F274,"MMM")</f>
        <v>Mar</v>
      </c>
      <c r="C274">
        <f t="shared" si="4"/>
        <v>2004</v>
      </c>
      <c r="D274" t="str">
        <f>IF('sales_data_sample (2)'!E274&gt;5000,"High Sales","Low Sales")</f>
        <v>Low Sales</v>
      </c>
      <c r="E274" t="str">
        <f>IF('sales_data_sample (2)'!C274&gt;=50,"Bulk Order","Normal Order")</f>
        <v>Bulk Order</v>
      </c>
    </row>
    <row r="275" spans="1:5" x14ac:dyDescent="0.3">
      <c r="A275" s="2">
        <v>38328</v>
      </c>
      <c r="B275" t="str">
        <f>TEXT('sales_data_sample (2)'!F275,"MMM")</f>
        <v>Mar</v>
      </c>
      <c r="C275">
        <f t="shared" si="4"/>
        <v>2004</v>
      </c>
      <c r="D275" t="str">
        <f>IF('sales_data_sample (2)'!E275&gt;5000,"High Sales","Low Sales")</f>
        <v>Low Sales</v>
      </c>
      <c r="E275" t="str">
        <f>IF('sales_data_sample (2)'!C275&gt;=50,"Bulk Order","Normal Order")</f>
        <v>Bulk Order</v>
      </c>
    </row>
    <row r="276" spans="1:5" x14ac:dyDescent="0.3">
      <c r="A276" s="2">
        <v>37867</v>
      </c>
      <c r="B276" t="str">
        <f>TEXT('sales_data_sample (2)'!F276,"MMM")</f>
        <v>Mar</v>
      </c>
      <c r="C276">
        <f t="shared" si="4"/>
        <v>2003</v>
      </c>
      <c r="D276" t="str">
        <f>IF('sales_data_sample (2)'!E276&gt;5000,"High Sales","Low Sales")</f>
        <v>Low Sales</v>
      </c>
      <c r="E276" t="str">
        <f>IF('sales_data_sample (2)'!C276&gt;=50,"Bulk Order","Normal Order")</f>
        <v>Bulk Order</v>
      </c>
    </row>
    <row r="277" spans="1:5" x14ac:dyDescent="0.3">
      <c r="A277" s="2">
        <v>38168</v>
      </c>
      <c r="B277" t="str">
        <f>TEXT('sales_data_sample (2)'!F277,"MMM")</f>
        <v>Mar</v>
      </c>
      <c r="C277">
        <f t="shared" si="4"/>
        <v>2004</v>
      </c>
      <c r="D277" t="str">
        <f>IF('sales_data_sample (2)'!E277&gt;5000,"High Sales","Low Sales")</f>
        <v>Low Sales</v>
      </c>
      <c r="E277" t="str">
        <f>IF('sales_data_sample (2)'!C277&gt;=50,"Bulk Order","Normal Order")</f>
        <v>Bulk Order</v>
      </c>
    </row>
    <row r="278" spans="1:5" x14ac:dyDescent="0.3">
      <c r="A278" s="2">
        <v>38227</v>
      </c>
      <c r="B278" t="str">
        <f>TEXT('sales_data_sample (2)'!F278,"MMM")</f>
        <v>Mar</v>
      </c>
      <c r="C278">
        <f t="shared" si="4"/>
        <v>2004</v>
      </c>
      <c r="D278" t="str">
        <f>IF('sales_data_sample (2)'!E278&gt;5000,"High Sales","Low Sales")</f>
        <v>Low Sales</v>
      </c>
      <c r="E278" t="str">
        <f>IF('sales_data_sample (2)'!C278&gt;=50,"Bulk Order","Normal Order")</f>
        <v>Bulk Order</v>
      </c>
    </row>
    <row r="279" spans="1:5" x14ac:dyDescent="0.3">
      <c r="A279" s="2">
        <v>38115</v>
      </c>
      <c r="B279" t="str">
        <f>TEXT('sales_data_sample (2)'!F279,"MMM")</f>
        <v>Mar</v>
      </c>
      <c r="C279">
        <f t="shared" si="4"/>
        <v>2004</v>
      </c>
      <c r="D279" t="str">
        <f>IF('sales_data_sample (2)'!E279&gt;5000,"High Sales","Low Sales")</f>
        <v>Low Sales</v>
      </c>
      <c r="E279" t="str">
        <f>IF('sales_data_sample (2)'!C279&gt;=50,"Bulk Order","Normal Order")</f>
        <v>Bulk Order</v>
      </c>
    </row>
    <row r="280" spans="1:5" x14ac:dyDescent="0.3">
      <c r="A280" s="2">
        <v>38303</v>
      </c>
      <c r="B280" t="str">
        <f>TEXT('sales_data_sample (2)'!F280,"MMM")</f>
        <v>Mar</v>
      </c>
      <c r="C280">
        <f t="shared" si="4"/>
        <v>2004</v>
      </c>
      <c r="D280" t="str">
        <f>IF('sales_data_sample (2)'!E280&gt;5000,"High Sales","Low Sales")</f>
        <v>Low Sales</v>
      </c>
      <c r="E280" t="str">
        <f>IF('sales_data_sample (2)'!C280&gt;=50,"Bulk Order","Normal Order")</f>
        <v>Bulk Order</v>
      </c>
    </row>
    <row r="281" spans="1:5" x14ac:dyDescent="0.3">
      <c r="A281" s="2">
        <v>38481</v>
      </c>
      <c r="B281" t="str">
        <f>TEXT('sales_data_sample (2)'!F281,"MMM")</f>
        <v>Mar</v>
      </c>
      <c r="C281">
        <f t="shared" si="4"/>
        <v>2005</v>
      </c>
      <c r="D281" t="str">
        <f>IF('sales_data_sample (2)'!E281&gt;5000,"High Sales","Low Sales")</f>
        <v>Low Sales</v>
      </c>
      <c r="E281" t="str">
        <f>IF('sales_data_sample (2)'!C281&gt;=50,"Bulk Order","Normal Order")</f>
        <v>Bulk Order</v>
      </c>
    </row>
    <row r="282" spans="1:5" x14ac:dyDescent="0.3">
      <c r="A282" s="2">
        <v>37889</v>
      </c>
      <c r="B282" t="str">
        <f>TEXT('sales_data_sample (2)'!F282,"MMM")</f>
        <v>Mar</v>
      </c>
      <c r="C282">
        <f t="shared" si="4"/>
        <v>2003</v>
      </c>
      <c r="D282" t="str">
        <f>IF('sales_data_sample (2)'!E282&gt;5000,"High Sales","Low Sales")</f>
        <v>Low Sales</v>
      </c>
      <c r="E282" t="str">
        <f>IF('sales_data_sample (2)'!C282&gt;=50,"Bulk Order","Normal Order")</f>
        <v>Bulk Order</v>
      </c>
    </row>
    <row r="283" spans="1:5" x14ac:dyDescent="0.3">
      <c r="A283" s="2">
        <v>38008</v>
      </c>
      <c r="B283" t="str">
        <f>TEXT('sales_data_sample (2)'!F283,"MMM")</f>
        <v>Mar</v>
      </c>
      <c r="C283">
        <f t="shared" si="4"/>
        <v>2004</v>
      </c>
      <c r="D283" t="str">
        <f>IF('sales_data_sample (2)'!E283&gt;5000,"High Sales","Low Sales")</f>
        <v>High Sales</v>
      </c>
      <c r="E283" t="str">
        <f>IF('sales_data_sample (2)'!C283&gt;=50,"Bulk Order","Normal Order")</f>
        <v>Bulk Order</v>
      </c>
    </row>
    <row r="284" spans="1:5" x14ac:dyDescent="0.3">
      <c r="A284" s="2">
        <v>38289</v>
      </c>
      <c r="B284" t="str">
        <f>TEXT('sales_data_sample (2)'!F284,"MMM")</f>
        <v>Mar</v>
      </c>
      <c r="C284">
        <f t="shared" si="4"/>
        <v>2004</v>
      </c>
      <c r="D284" t="str">
        <f>IF('sales_data_sample (2)'!E284&gt;5000,"High Sales","Low Sales")</f>
        <v>Low Sales</v>
      </c>
      <c r="E284" t="str">
        <f>IF('sales_data_sample (2)'!C284&gt;=50,"Bulk Order","Normal Order")</f>
        <v>Bulk Order</v>
      </c>
    </row>
    <row r="285" spans="1:5" x14ac:dyDescent="0.3">
      <c r="A285" s="2">
        <v>38175</v>
      </c>
      <c r="B285" t="str">
        <f>TEXT('sales_data_sample (2)'!F285,"MMM")</f>
        <v>Mar</v>
      </c>
      <c r="C285">
        <f t="shared" si="4"/>
        <v>2004</v>
      </c>
      <c r="D285" t="str">
        <f>IF('sales_data_sample (2)'!E285&gt;5000,"High Sales","Low Sales")</f>
        <v>Low Sales</v>
      </c>
      <c r="E285" t="str">
        <f>IF('sales_data_sample (2)'!C285&gt;=50,"Bulk Order","Normal Order")</f>
        <v>Bulk Order</v>
      </c>
    </row>
    <row r="286" spans="1:5" x14ac:dyDescent="0.3">
      <c r="A286" s="2">
        <v>38208</v>
      </c>
      <c r="B286" t="str">
        <f>TEXT('sales_data_sample (2)'!F286,"MMM")</f>
        <v>Apr</v>
      </c>
      <c r="C286">
        <f t="shared" si="4"/>
        <v>2004</v>
      </c>
      <c r="D286" t="str">
        <f>IF('sales_data_sample (2)'!E286&gt;5000,"High Sales","Low Sales")</f>
        <v>High Sales</v>
      </c>
      <c r="E286" t="str">
        <f>IF('sales_data_sample (2)'!C286&gt;=50,"Bulk Order","Normal Order")</f>
        <v>Bulk Order</v>
      </c>
    </row>
    <row r="287" spans="1:5" x14ac:dyDescent="0.3">
      <c r="A287" s="2">
        <v>37904</v>
      </c>
      <c r="B287" t="str">
        <f>TEXT('sales_data_sample (2)'!F287,"MMM")</f>
        <v>Apr</v>
      </c>
      <c r="C287">
        <f t="shared" si="4"/>
        <v>2003</v>
      </c>
      <c r="D287" t="str">
        <f>IF('sales_data_sample (2)'!E287&gt;5000,"High Sales","Low Sales")</f>
        <v>Low Sales</v>
      </c>
      <c r="E287" t="str">
        <f>IF('sales_data_sample (2)'!C287&gt;=50,"Bulk Order","Normal Order")</f>
        <v>Bulk Order</v>
      </c>
    </row>
    <row r="288" spans="1:5" x14ac:dyDescent="0.3">
      <c r="A288" s="2">
        <v>38315</v>
      </c>
      <c r="B288" t="str">
        <f>TEXT('sales_data_sample (2)'!F288,"MMM")</f>
        <v>Apr</v>
      </c>
      <c r="C288">
        <f t="shared" si="4"/>
        <v>2004</v>
      </c>
      <c r="D288" t="str">
        <f>IF('sales_data_sample (2)'!E288&gt;5000,"High Sales","Low Sales")</f>
        <v>High Sales</v>
      </c>
      <c r="E288" t="str">
        <f>IF('sales_data_sample (2)'!C288&gt;=50,"Bulk Order","Normal Order")</f>
        <v>Bulk Order</v>
      </c>
    </row>
    <row r="289" spans="1:5" x14ac:dyDescent="0.3">
      <c r="A289" s="2">
        <v>38316</v>
      </c>
      <c r="B289" t="str">
        <f>TEXT('sales_data_sample (2)'!F289,"MMM")</f>
        <v>Apr</v>
      </c>
      <c r="C289">
        <f t="shared" si="4"/>
        <v>2004</v>
      </c>
      <c r="D289" t="str">
        <f>IF('sales_data_sample (2)'!E289&gt;5000,"High Sales","Low Sales")</f>
        <v>Low Sales</v>
      </c>
      <c r="E289" t="str">
        <f>IF('sales_data_sample (2)'!C289&gt;=50,"Bulk Order","Normal Order")</f>
        <v>Bulk Order</v>
      </c>
    </row>
    <row r="290" spans="1:5" x14ac:dyDescent="0.3">
      <c r="A290" s="2">
        <v>37944</v>
      </c>
      <c r="B290" t="str">
        <f>TEXT('sales_data_sample (2)'!F290,"MMM")</f>
        <v>Apr</v>
      </c>
      <c r="C290">
        <f t="shared" si="4"/>
        <v>2003</v>
      </c>
      <c r="D290" t="str">
        <f>IF('sales_data_sample (2)'!E290&gt;5000,"High Sales","Low Sales")</f>
        <v>High Sales</v>
      </c>
      <c r="E290" t="str">
        <f>IF('sales_data_sample (2)'!C290&gt;=50,"Bulk Order","Normal Order")</f>
        <v>Bulk Order</v>
      </c>
    </row>
    <row r="291" spans="1:5" x14ac:dyDescent="0.3">
      <c r="A291" s="2">
        <v>38371</v>
      </c>
      <c r="B291" t="str">
        <f>TEXT('sales_data_sample (2)'!F291,"MMM")</f>
        <v>Apr</v>
      </c>
      <c r="C291">
        <f t="shared" si="4"/>
        <v>2005</v>
      </c>
      <c r="D291" t="str">
        <f>IF('sales_data_sample (2)'!E291&gt;5000,"High Sales","Low Sales")</f>
        <v>High Sales</v>
      </c>
      <c r="E291" t="str">
        <f>IF('sales_data_sample (2)'!C291&gt;=50,"Bulk Order","Normal Order")</f>
        <v>Bulk Order</v>
      </c>
    </row>
    <row r="292" spans="1:5" x14ac:dyDescent="0.3">
      <c r="A292" s="2">
        <v>38310</v>
      </c>
      <c r="B292" t="str">
        <f>TEXT('sales_data_sample (2)'!F292,"MMM")</f>
        <v>Apr</v>
      </c>
      <c r="C292">
        <f t="shared" si="4"/>
        <v>2004</v>
      </c>
      <c r="D292" t="str">
        <f>IF('sales_data_sample (2)'!E292&gt;5000,"High Sales","Low Sales")</f>
        <v>High Sales</v>
      </c>
      <c r="E292" t="str">
        <f>IF('sales_data_sample (2)'!C292&gt;=50,"Bulk Order","Normal Order")</f>
        <v>Bulk Order</v>
      </c>
    </row>
    <row r="293" spans="1:5" x14ac:dyDescent="0.3">
      <c r="A293" s="2">
        <v>37896</v>
      </c>
      <c r="B293" t="str">
        <f>TEXT('sales_data_sample (2)'!F293,"MMM")</f>
        <v>Apr</v>
      </c>
      <c r="C293">
        <f t="shared" si="4"/>
        <v>2003</v>
      </c>
      <c r="D293" t="str">
        <f>IF('sales_data_sample (2)'!E293&gt;5000,"High Sales","Low Sales")</f>
        <v>Low Sales</v>
      </c>
      <c r="E293" t="str">
        <f>IF('sales_data_sample (2)'!C293&gt;=50,"Bulk Order","Normal Order")</f>
        <v>Normal Order</v>
      </c>
    </row>
    <row r="294" spans="1:5" x14ac:dyDescent="0.3">
      <c r="A294" s="2">
        <v>38075</v>
      </c>
      <c r="B294" t="str">
        <f>TEXT('sales_data_sample (2)'!F294,"MMM")</f>
        <v>Apr</v>
      </c>
      <c r="C294">
        <f t="shared" si="4"/>
        <v>2004</v>
      </c>
      <c r="D294" t="str">
        <f>IF('sales_data_sample (2)'!E294&gt;5000,"High Sales","Low Sales")</f>
        <v>Low Sales</v>
      </c>
      <c r="E294" t="str">
        <f>IF('sales_data_sample (2)'!C294&gt;=50,"Bulk Order","Normal Order")</f>
        <v>Bulk Order</v>
      </c>
    </row>
    <row r="295" spans="1:5" x14ac:dyDescent="0.3">
      <c r="A295" s="2">
        <v>38411</v>
      </c>
      <c r="B295" t="str">
        <f>TEXT('sales_data_sample (2)'!F295,"MMM")</f>
        <v>May</v>
      </c>
      <c r="C295">
        <f t="shared" si="4"/>
        <v>2005</v>
      </c>
      <c r="D295" t="str">
        <f>IF('sales_data_sample (2)'!E295&gt;5000,"High Sales","Low Sales")</f>
        <v>Low Sales</v>
      </c>
      <c r="E295" t="str">
        <f>IF('sales_data_sample (2)'!C295&gt;=50,"Bulk Order","Normal Order")</f>
        <v>Bulk Order</v>
      </c>
    </row>
    <row r="296" spans="1:5" x14ac:dyDescent="0.3">
      <c r="A296" s="2">
        <v>38097</v>
      </c>
      <c r="B296" t="str">
        <f>TEXT('sales_data_sample (2)'!F296,"MMM")</f>
        <v>May</v>
      </c>
      <c r="C296">
        <f t="shared" si="4"/>
        <v>2004</v>
      </c>
      <c r="D296" t="str">
        <f>IF('sales_data_sample (2)'!E296&gt;5000,"High Sales","Low Sales")</f>
        <v>High Sales</v>
      </c>
      <c r="E296" t="str">
        <f>IF('sales_data_sample (2)'!C296&gt;=50,"Bulk Order","Normal Order")</f>
        <v>Bulk Order</v>
      </c>
    </row>
    <row r="297" spans="1:5" x14ac:dyDescent="0.3">
      <c r="A297" s="2">
        <v>38464</v>
      </c>
      <c r="B297" t="str">
        <f>TEXT('sales_data_sample (2)'!F297,"MMM")</f>
        <v>May</v>
      </c>
      <c r="C297">
        <f t="shared" si="4"/>
        <v>2005</v>
      </c>
      <c r="D297" t="str">
        <f>IF('sales_data_sample (2)'!E297&gt;5000,"High Sales","Low Sales")</f>
        <v>High Sales</v>
      </c>
      <c r="E297" t="str">
        <f>IF('sales_data_sample (2)'!C297&gt;=50,"Bulk Order","Normal Order")</f>
        <v>Bulk Order</v>
      </c>
    </row>
    <row r="298" spans="1:5" x14ac:dyDescent="0.3">
      <c r="A298" s="2">
        <v>38293</v>
      </c>
      <c r="B298" t="str">
        <f>TEXT('sales_data_sample (2)'!F298,"MMM")</f>
        <v>May</v>
      </c>
      <c r="C298">
        <f t="shared" si="4"/>
        <v>2004</v>
      </c>
      <c r="D298" t="str">
        <f>IF('sales_data_sample (2)'!E298&gt;5000,"High Sales","Low Sales")</f>
        <v>Low Sales</v>
      </c>
      <c r="E298" t="str">
        <f>IF('sales_data_sample (2)'!C298&gt;=50,"Bulk Order","Normal Order")</f>
        <v>Bulk Order</v>
      </c>
    </row>
    <row r="299" spans="1:5" x14ac:dyDescent="0.3">
      <c r="A299" s="2">
        <v>38413</v>
      </c>
      <c r="B299" t="str">
        <f>TEXT('sales_data_sample (2)'!F299,"MMM")</f>
        <v>May</v>
      </c>
      <c r="C299">
        <f t="shared" si="4"/>
        <v>2005</v>
      </c>
      <c r="D299" t="str">
        <f>IF('sales_data_sample (2)'!E299&gt;5000,"High Sales","Low Sales")</f>
        <v>High Sales</v>
      </c>
      <c r="E299" t="str">
        <f>IF('sales_data_sample (2)'!C299&gt;=50,"Bulk Order","Normal Order")</f>
        <v>Bulk Order</v>
      </c>
    </row>
    <row r="300" spans="1:5" x14ac:dyDescent="0.3">
      <c r="A300" s="2">
        <v>38358</v>
      </c>
      <c r="B300" t="str">
        <f>TEXT('sales_data_sample (2)'!F300,"MMM")</f>
        <v>May</v>
      </c>
      <c r="C300">
        <f t="shared" si="4"/>
        <v>2005</v>
      </c>
      <c r="D300" t="str">
        <f>IF('sales_data_sample (2)'!E300&gt;5000,"High Sales","Low Sales")</f>
        <v>Low Sales</v>
      </c>
      <c r="E300" t="str">
        <f>IF('sales_data_sample (2)'!C300&gt;=50,"Bulk Order","Normal Order")</f>
        <v>Bulk Order</v>
      </c>
    </row>
    <row r="301" spans="1:5" x14ac:dyDescent="0.3">
      <c r="A301" s="2">
        <v>37722</v>
      </c>
      <c r="B301" t="str">
        <f>TEXT('sales_data_sample (2)'!F301,"MMM")</f>
        <v>May</v>
      </c>
      <c r="C301">
        <f t="shared" si="4"/>
        <v>2003</v>
      </c>
      <c r="D301" t="str">
        <f>IF('sales_data_sample (2)'!E301&gt;5000,"High Sales","Low Sales")</f>
        <v>High Sales</v>
      </c>
      <c r="E301" t="str">
        <f>IF('sales_data_sample (2)'!C301&gt;=50,"Bulk Order","Normal Order")</f>
        <v>Bulk Order</v>
      </c>
    </row>
    <row r="302" spans="1:5" x14ac:dyDescent="0.3">
      <c r="A302" s="2">
        <v>37846</v>
      </c>
      <c r="B302" t="str">
        <f>TEXT('sales_data_sample (2)'!F302,"MMM")</f>
        <v>May</v>
      </c>
      <c r="C302">
        <f t="shared" si="4"/>
        <v>2003</v>
      </c>
      <c r="D302" t="str">
        <f>IF('sales_data_sample (2)'!E302&gt;5000,"High Sales","Low Sales")</f>
        <v>Low Sales</v>
      </c>
      <c r="E302" t="str">
        <f>IF('sales_data_sample (2)'!C302&gt;=50,"Bulk Order","Normal Order")</f>
        <v>Bulk Order</v>
      </c>
    </row>
    <row r="303" spans="1:5" x14ac:dyDescent="0.3">
      <c r="A303" s="2">
        <v>37902</v>
      </c>
      <c r="B303" t="str">
        <f>TEXT('sales_data_sample (2)'!F303,"MMM")</f>
        <v>May</v>
      </c>
      <c r="C303">
        <f t="shared" si="4"/>
        <v>2003</v>
      </c>
      <c r="D303" t="str">
        <f>IF('sales_data_sample (2)'!E303&gt;5000,"High Sales","Low Sales")</f>
        <v>High Sales</v>
      </c>
      <c r="E303" t="str">
        <f>IF('sales_data_sample (2)'!C303&gt;=50,"Bulk Order","Normal Order")</f>
        <v>Bulk Order</v>
      </c>
    </row>
    <row r="304" spans="1:5" x14ac:dyDescent="0.3">
      <c r="A304" s="2">
        <v>37956</v>
      </c>
      <c r="B304" t="str">
        <f>TEXT('sales_data_sample (2)'!F304,"MMM")</f>
        <v>May</v>
      </c>
      <c r="C304">
        <f t="shared" si="4"/>
        <v>2003</v>
      </c>
      <c r="D304" t="str">
        <f>IF('sales_data_sample (2)'!E304&gt;5000,"High Sales","Low Sales")</f>
        <v>High Sales</v>
      </c>
      <c r="E304" t="str">
        <f>IF('sales_data_sample (2)'!C304&gt;=50,"Bulk Order","Normal Order")</f>
        <v>Bulk Order</v>
      </c>
    </row>
    <row r="305" spans="1:5" x14ac:dyDescent="0.3">
      <c r="A305" s="2">
        <v>38439</v>
      </c>
      <c r="B305" t="str">
        <f>TEXT('sales_data_sample (2)'!F305,"MMM")</f>
        <v>May</v>
      </c>
      <c r="C305">
        <f t="shared" si="4"/>
        <v>2005</v>
      </c>
      <c r="D305" t="str">
        <f>IF('sales_data_sample (2)'!E305&gt;5000,"High Sales","Low Sales")</f>
        <v>Low Sales</v>
      </c>
      <c r="E305" t="str">
        <f>IF('sales_data_sample (2)'!C305&gt;=50,"Bulk Order","Normal Order")</f>
        <v>Bulk Order</v>
      </c>
    </row>
    <row r="306" spans="1:5" x14ac:dyDescent="0.3">
      <c r="A306" s="2">
        <v>38324</v>
      </c>
      <c r="B306" t="str">
        <f>TEXT('sales_data_sample (2)'!F306,"MMM")</f>
        <v>May</v>
      </c>
      <c r="C306">
        <f t="shared" si="4"/>
        <v>2004</v>
      </c>
      <c r="D306" t="str">
        <f>IF('sales_data_sample (2)'!E306&gt;5000,"High Sales","Low Sales")</f>
        <v>Low Sales</v>
      </c>
      <c r="E306" t="str">
        <f>IF('sales_data_sample (2)'!C306&gt;=50,"Bulk Order","Normal Order")</f>
        <v>Bulk Order</v>
      </c>
    </row>
    <row r="307" spans="1:5" x14ac:dyDescent="0.3">
      <c r="A307" s="2">
        <v>37732</v>
      </c>
      <c r="B307" t="str">
        <f>TEXT('sales_data_sample (2)'!F307,"MMM")</f>
        <v>May</v>
      </c>
      <c r="C307">
        <f t="shared" si="4"/>
        <v>2003</v>
      </c>
      <c r="D307" t="str">
        <f>IF('sales_data_sample (2)'!E307&gt;5000,"High Sales","Low Sales")</f>
        <v>High Sales</v>
      </c>
      <c r="E307" t="str">
        <f>IF('sales_data_sample (2)'!C307&gt;=50,"Bulk Order","Normal Order")</f>
        <v>Bulk Order</v>
      </c>
    </row>
    <row r="308" spans="1:5" x14ac:dyDescent="0.3">
      <c r="A308" s="2">
        <v>38240</v>
      </c>
      <c r="B308" t="str">
        <f>TEXT('sales_data_sample (2)'!F308,"MMM")</f>
        <v>May</v>
      </c>
      <c r="C308">
        <f t="shared" si="4"/>
        <v>2004</v>
      </c>
      <c r="D308" t="str">
        <f>IF('sales_data_sample (2)'!E308&gt;5000,"High Sales","Low Sales")</f>
        <v>High Sales</v>
      </c>
      <c r="E308" t="str">
        <f>IF('sales_data_sample (2)'!C308&gt;=50,"Bulk Order","Normal Order")</f>
        <v>Bulk Order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BF94B-E224-4031-8030-82522CB851FD}">
  <dimension ref="A1:R21"/>
  <sheetViews>
    <sheetView tabSelected="1" workbookViewId="0">
      <selection activeCell="L22" sqref="L22"/>
    </sheetView>
  </sheetViews>
  <sheetFormatPr defaultRowHeight="14.4" x14ac:dyDescent="0.3"/>
  <cols>
    <col min="1" max="1" width="17" customWidth="1"/>
    <col min="3" max="3" width="17" customWidth="1"/>
    <col min="4" max="4" width="17.109375" customWidth="1"/>
    <col min="5" max="5" width="13.6640625" customWidth="1"/>
    <col min="7" max="7" width="10.109375" customWidth="1"/>
    <col min="8" max="8" width="15" customWidth="1"/>
    <col min="17" max="17" width="7.109375" customWidth="1"/>
  </cols>
  <sheetData>
    <row r="1" spans="1:18" x14ac:dyDescent="0.3">
      <c r="A1" s="9" t="s">
        <v>780</v>
      </c>
      <c r="B1" s="10"/>
      <c r="D1" s="11" t="s">
        <v>781</v>
      </c>
      <c r="E1" s="12"/>
    </row>
    <row r="2" spans="1:18" x14ac:dyDescent="0.3">
      <c r="A2" s="7" t="str" cm="1">
        <f t="array" ref="A2:A8">_xlfn.UNIQUE('sales_data_sample (2)'!L2:L308)</f>
        <v>Vintage Cars</v>
      </c>
      <c r="B2" s="7">
        <f>AVERAGEIFS('sales_data_sample (2)'!B$2:B$308,'sales_data_sample (2)'!$L$2:$L$308,Analysis!A2)</f>
        <v>34.5</v>
      </c>
      <c r="D2" s="7" t="str" cm="1">
        <f t="array" ref="D2:D8">_xlfn.UNIQUE('sales_data_sample (2)'!L2:L308)</f>
        <v>Vintage Cars</v>
      </c>
      <c r="E2" s="7">
        <f>SUMIFS('sales_data_sample (2)'!$B$2:$B$308,'sales_data_sample (2)'!$L$2:$L$308,Analysis!D2)</f>
        <v>1932</v>
      </c>
      <c r="H2" s="17" t="s">
        <v>786</v>
      </c>
      <c r="I2" s="17"/>
      <c r="P2" s="4" t="s">
        <v>760</v>
      </c>
      <c r="R2" s="4" t="s">
        <v>761</v>
      </c>
    </row>
    <row r="3" spans="1:18" x14ac:dyDescent="0.3">
      <c r="A3" s="7" t="str">
        <v>Classic Cars</v>
      </c>
      <c r="B3" s="7">
        <f>AVERAGEIFS('sales_data_sample (2)'!B$2:B$308,'sales_data_sample (2)'!$L$2:$L$308,Analysis!A3)</f>
        <v>35.072727272727271</v>
      </c>
      <c r="D3" s="7" t="str">
        <v>Classic Cars</v>
      </c>
      <c r="E3" s="7">
        <f>SUMIFS('sales_data_sample (2)'!$B$2:$B$308,'sales_data_sample (2)'!$L$2:$L$308,Analysis!D3)</f>
        <v>5787</v>
      </c>
      <c r="H3" s="7" t="str" cm="1">
        <f t="array" ref="H3:H21">_xlfn.UNIQUE('sales_data_sample (2)'!$V$2:$V$308)</f>
        <v>USA</v>
      </c>
      <c r="I3" s="7">
        <f>SUMIFS('sales_data_sample (2)'!$E$2:$E$308,'sales_data_sample (2)'!$V$2:$V$308,Analysis!H3)</f>
        <v>524383.89</v>
      </c>
      <c r="P3" s="4">
        <f>SUM('sales_data_sample (2)'!$E$2:$E$308)</f>
        <v>1408665.4800000002</v>
      </c>
      <c r="R3" s="4">
        <f>AVERAGE('sales_data_sample (2)'!$E$2:$E$308)</f>
        <v>4588.4869055374602</v>
      </c>
    </row>
    <row r="4" spans="1:18" x14ac:dyDescent="0.3">
      <c r="A4" s="7" t="str">
        <v>Planes</v>
      </c>
      <c r="B4" s="7">
        <f>AVERAGEIFS('sales_data_sample (2)'!B$2:B$308,'sales_data_sample (2)'!$L$2:$L$308,Analysis!A4)</f>
        <v>35.200000000000003</v>
      </c>
      <c r="D4" s="7" t="str">
        <v>Planes</v>
      </c>
      <c r="E4" s="7">
        <f>SUMIFS('sales_data_sample (2)'!$B$2:$B$308,'sales_data_sample (2)'!$L$2:$L$308,Analysis!D4)</f>
        <v>704</v>
      </c>
      <c r="H4" s="7" t="str">
        <v>Germany</v>
      </c>
      <c r="I4" s="7">
        <f>SUMIFS('sales_data_sample (2)'!$E$2:$E$308,'sales_data_sample (2)'!$V$2:$V$308,Analysis!H4)</f>
        <v>35784.47</v>
      </c>
    </row>
    <row r="5" spans="1:18" x14ac:dyDescent="0.3">
      <c r="A5" s="7" t="str">
        <v>Motorcycles</v>
      </c>
      <c r="B5" s="7">
        <f>AVERAGEIFS('sales_data_sample (2)'!B$2:B$308,'sales_data_sample (2)'!$L$2:$L$308,Analysis!A5)</f>
        <v>36.565217391304351</v>
      </c>
      <c r="D5" s="7" t="str">
        <v>Motorcycles</v>
      </c>
      <c r="E5" s="7">
        <f>SUMIFS('sales_data_sample (2)'!$B$2:$B$308,'sales_data_sample (2)'!$L$2:$L$308,Analysis!D5)</f>
        <v>1682</v>
      </c>
      <c r="H5" s="7" t="str">
        <v>Norway</v>
      </c>
      <c r="I5" s="7">
        <f>SUMIFS('sales_data_sample (2)'!$E$2:$E$308,'sales_data_sample (2)'!$V$2:$V$308,Analysis!H5)</f>
        <v>41482.369999999995</v>
      </c>
      <c r="P5" s="4" t="s">
        <v>762</v>
      </c>
      <c r="R5" s="4" t="s">
        <v>763</v>
      </c>
    </row>
    <row r="6" spans="1:18" x14ac:dyDescent="0.3">
      <c r="A6" s="7" t="str">
        <v>Trucks and Buses</v>
      </c>
      <c r="B6" s="7">
        <f>AVERAGEIFS('sales_data_sample (2)'!B$2:B$308,'sales_data_sample (2)'!$L$2:$L$308,Analysis!A6)</f>
        <v>36</v>
      </c>
      <c r="D6" s="7" t="str">
        <v>Trucks and Buses</v>
      </c>
      <c r="E6" s="7">
        <f>SUMIFS('sales_data_sample (2)'!$B$2:$B$308,'sales_data_sample (2)'!$L$2:$L$308,Analysis!D6)</f>
        <v>468</v>
      </c>
      <c r="H6" s="7" t="str">
        <v>Spain</v>
      </c>
      <c r="I6" s="7">
        <f>SUMIFS('sales_data_sample (2)'!$E$2:$E$308,'sales_data_sample (2)'!$V$2:$V$308,Analysis!H6)</f>
        <v>157078.92000000001</v>
      </c>
      <c r="P6" s="4">
        <f>MAX('sales_data_sample (2)'!$E$2:$E$308)</f>
        <v>12001</v>
      </c>
      <c r="R6" s="4">
        <f>MIN('sales_data_sample (2)'!$E$2:$E$308)</f>
        <v>553.95000000000005</v>
      </c>
    </row>
    <row r="7" spans="1:18" x14ac:dyDescent="0.3">
      <c r="A7" s="7" t="str">
        <v>Trains</v>
      </c>
      <c r="B7" s="7">
        <f>AVERAGEIFS('sales_data_sample (2)'!B$2:B$308,'sales_data_sample (2)'!$L$2:$L$308,Analysis!A7)</f>
        <v>29.5</v>
      </c>
      <c r="D7" s="7" t="str">
        <v>Trains</v>
      </c>
      <c r="E7" s="7">
        <f>SUMIFS('sales_data_sample (2)'!$B$2:$B$308,'sales_data_sample (2)'!$L$2:$L$308,Analysis!D7)</f>
        <v>59</v>
      </c>
      <c r="H7" s="7" t="str">
        <v>Denmark</v>
      </c>
      <c r="I7" s="7">
        <f>SUMIFS('sales_data_sample (2)'!$E$2:$E$308,'sales_data_sample (2)'!$V$2:$V$308,Analysis!H7)</f>
        <v>39151.18</v>
      </c>
    </row>
    <row r="8" spans="1:18" x14ac:dyDescent="0.3">
      <c r="A8" s="7" t="str">
        <v>Ships</v>
      </c>
      <c r="B8" s="7">
        <f>AVERAGEIFS('sales_data_sample (2)'!B$2:B$308,'sales_data_sample (2)'!$L$2:$L$308,Analysis!A8)</f>
        <v>35.200000000000003</v>
      </c>
      <c r="D8" s="7" t="str">
        <v>Ships</v>
      </c>
      <c r="E8" s="7">
        <f>SUMIFS('sales_data_sample (2)'!$B$2:$B$308,'sales_data_sample (2)'!$L$2:$L$308,Analysis!D8)</f>
        <v>176</v>
      </c>
      <c r="H8" s="7" t="str">
        <v>Italy</v>
      </c>
      <c r="I8" s="7">
        <f>SUMIFS('sales_data_sample (2)'!$E$2:$E$308,'sales_data_sample (2)'!$V$2:$V$308,Analysis!H8)</f>
        <v>51544.44</v>
      </c>
    </row>
    <row r="9" spans="1:18" x14ac:dyDescent="0.3">
      <c r="B9" s="7">
        <f>SUM(B2:B8)</f>
        <v>242.03794466403161</v>
      </c>
      <c r="E9" s="7">
        <f>SUM(E2:E8)</f>
        <v>10808</v>
      </c>
      <c r="H9" s="7" t="str">
        <v>Philippines</v>
      </c>
      <c r="I9" s="7">
        <f>SUMIFS('sales_data_sample (2)'!$E$2:$E$308,'sales_data_sample (2)'!$V$2:$V$308,Analysis!H9)</f>
        <v>17154.349999999999</v>
      </c>
    </row>
    <row r="10" spans="1:18" x14ac:dyDescent="0.3">
      <c r="H10" s="7" t="str">
        <v>UK</v>
      </c>
      <c r="I10" s="7">
        <f>SUMIFS('sales_data_sample (2)'!$E$2:$E$308,'sales_data_sample (2)'!$V$2:$V$308,Analysis!H10)</f>
        <v>58880.53</v>
      </c>
    </row>
    <row r="11" spans="1:18" x14ac:dyDescent="0.3">
      <c r="A11" s="13" t="s">
        <v>782</v>
      </c>
      <c r="B11" s="14"/>
      <c r="D11" s="15" t="s">
        <v>760</v>
      </c>
      <c r="E11" s="16"/>
      <c r="H11" s="7" t="str">
        <v>Sweden</v>
      </c>
      <c r="I11" s="7">
        <f>SUMIFS('sales_data_sample (2)'!$E$2:$E$308,'sales_data_sample (2)'!$V$2:$V$308,Analysis!H11)</f>
        <v>36716.410000000003</v>
      </c>
    </row>
    <row r="12" spans="1:18" x14ac:dyDescent="0.3">
      <c r="A12" s="7" t="str" cm="1">
        <f t="array" ref="A12:A18">_xlfn.UNIQUE('sales_data_sample (2)'!L2:L308)</f>
        <v>Vintage Cars</v>
      </c>
      <c r="B12" s="7">
        <f>AVERAGEIFS('sales_data_sample (2)'!$E$2:$E$308,'sales_data_sample (2)'!$L$2:$L$308,Analysis!A12)</f>
        <v>3738.2851785714297</v>
      </c>
      <c r="D12" s="7" t="str" cm="1">
        <f t="array" ref="D12:D18">_xlfn.UNIQUE('sales_data_sample (2)'!L2:L308)</f>
        <v>Vintage Cars</v>
      </c>
      <c r="E12" s="7">
        <f>SUMIFS('sales_data_sample (2)'!$E$2:$E$308,'sales_data_sample (2)'!$L$2:$L$308,Analysis!D12)</f>
        <v>209343.97000000006</v>
      </c>
      <c r="H12" s="7" t="str">
        <v>France</v>
      </c>
      <c r="I12" s="7">
        <f>SUMIFS('sales_data_sample (2)'!$E$2:$E$308,'sales_data_sample (2)'!$V$2:$V$308,Analysis!H12)</f>
        <v>161203.70000000001</v>
      </c>
    </row>
    <row r="13" spans="1:18" x14ac:dyDescent="0.3">
      <c r="A13" s="7" t="str">
        <v>Classic Cars</v>
      </c>
      <c r="B13" s="7">
        <f>AVERAGEIFS('sales_data_sample (2)'!$E$2:$E$308,'sales_data_sample (2)'!$L$2:$L$308,Analysis!A13)</f>
        <v>5229.5569696969715</v>
      </c>
      <c r="D13" s="7" t="str">
        <v>Classic Cars</v>
      </c>
      <c r="E13" s="7">
        <f>SUMIFS('sales_data_sample (2)'!$E$2:$E$308,'sales_data_sample (2)'!$L$2:$L$308,Analysis!D13)</f>
        <v>862876.90000000026</v>
      </c>
      <c r="H13" s="7" t="str">
        <v>Belgium</v>
      </c>
      <c r="I13" s="7">
        <f>SUMIFS('sales_data_sample (2)'!$E$2:$E$308,'sales_data_sample (2)'!$V$2:$V$308,Analysis!H13)</f>
        <v>21988.670000000002</v>
      </c>
    </row>
    <row r="14" spans="1:18" x14ac:dyDescent="0.3">
      <c r="A14" s="7" t="str">
        <v>Planes</v>
      </c>
      <c r="B14" s="7">
        <f>AVERAGEIFS('sales_data_sample (2)'!$E$2:$E$308,'sales_data_sample (2)'!$L$2:$L$308,Analysis!A14)</f>
        <v>4378.9069999999992</v>
      </c>
      <c r="D14" s="7" t="str">
        <v>Planes</v>
      </c>
      <c r="E14" s="7">
        <f>SUMIFS('sales_data_sample (2)'!$E$2:$E$308,'sales_data_sample (2)'!$L$2:$L$308,Analysis!D14)</f>
        <v>87578.139999999985</v>
      </c>
      <c r="H14" s="7" t="str">
        <v>Singapore</v>
      </c>
      <c r="I14" s="7">
        <f>SUMIFS('sales_data_sample (2)'!$E$2:$E$308,'sales_data_sample (2)'!$V$2:$V$308,Analysis!H14)</f>
        <v>47702.18</v>
      </c>
    </row>
    <row r="15" spans="1:18" x14ac:dyDescent="0.3">
      <c r="A15" s="7" t="str">
        <v>Motorcycles</v>
      </c>
      <c r="B15" s="7">
        <f>AVERAGEIFS('sales_data_sample (2)'!$E$2:$E$308,'sales_data_sample (2)'!$L$2:$L$308,Analysis!A15)</f>
        <v>3681.3047826086954</v>
      </c>
      <c r="D15" s="7" t="str">
        <v>Motorcycles</v>
      </c>
      <c r="E15" s="7">
        <f>SUMIFS('sales_data_sample (2)'!$E$2:$E$308,'sales_data_sample (2)'!$L$2:$L$308,Analysis!D15)</f>
        <v>169340.02</v>
      </c>
      <c r="H15" s="7" t="str">
        <v>Austria</v>
      </c>
      <c r="I15" s="7">
        <f>SUMIFS('sales_data_sample (2)'!$E$2:$E$308,'sales_data_sample (2)'!$V$2:$V$308,Analysis!H15)</f>
        <v>27942.600000000002</v>
      </c>
    </row>
    <row r="16" spans="1:18" x14ac:dyDescent="0.3">
      <c r="A16" s="7" t="str">
        <v>Trucks and Buses</v>
      </c>
      <c r="B16" s="7">
        <f>AVERAGEIFS('sales_data_sample (2)'!$E$2:$E$308,'sales_data_sample (2)'!$L$2:$L$308,Analysis!A16)</f>
        <v>4331.6799999999994</v>
      </c>
      <c r="D16" s="7" t="str">
        <v>Trucks and Buses</v>
      </c>
      <c r="E16" s="7">
        <f>SUMIFS('sales_data_sample (2)'!$E$2:$E$308,'sales_data_sample (2)'!$L$2:$L$308,Analysis!D16)</f>
        <v>56311.839999999997</v>
      </c>
      <c r="H16" s="7" t="str">
        <v>Australia</v>
      </c>
      <c r="I16" s="7">
        <f>SUMIFS('sales_data_sample (2)'!$E$2:$E$308,'sales_data_sample (2)'!$V$2:$V$308,Analysis!H16)</f>
        <v>78724.680000000022</v>
      </c>
    </row>
    <row r="17" spans="1:12" x14ac:dyDescent="0.3">
      <c r="A17" s="7" t="str">
        <v>Trains</v>
      </c>
      <c r="B17" s="7">
        <f>AVERAGEIFS('sales_data_sample (2)'!$E$2:$E$308,'sales_data_sample (2)'!$L$2:$L$308,Analysis!A17)</f>
        <v>2759.47</v>
      </c>
      <c r="D17" s="7" t="str">
        <v>Trains</v>
      </c>
      <c r="E17" s="7">
        <f>SUMIFS('sales_data_sample (2)'!$E$2:$E$308,'sales_data_sample (2)'!$L$2:$L$308,Analysis!D17)</f>
        <v>5518.94</v>
      </c>
      <c r="H17" s="7" t="str">
        <v>Finland</v>
      </c>
      <c r="I17" s="7">
        <f>SUMIFS('sales_data_sample (2)'!$E$2:$E$308,'sales_data_sample (2)'!$V$2:$V$308,Analysis!H17)</f>
        <v>33648.300000000003</v>
      </c>
    </row>
    <row r="18" spans="1:12" x14ac:dyDescent="0.3">
      <c r="A18" s="7" t="str">
        <v>Ships</v>
      </c>
      <c r="B18" s="7">
        <f>AVERAGEIFS('sales_data_sample (2)'!$E$2:$E$308,'sales_data_sample (2)'!$L$2:$L$308,Analysis!A18)</f>
        <v>3539.1339999999996</v>
      </c>
      <c r="D18" s="7" t="str">
        <v>Ships</v>
      </c>
      <c r="E18" s="7">
        <f>SUMIFS('sales_data_sample (2)'!$E$2:$E$308,'sales_data_sample (2)'!$L$2:$L$308,Analysis!D18)</f>
        <v>17695.669999999998</v>
      </c>
      <c r="H18" s="7" t="str">
        <v>Canada</v>
      </c>
      <c r="I18" s="7">
        <f>SUMIFS('sales_data_sample (2)'!$E$2:$E$308,'sales_data_sample (2)'!$V$2:$V$308,Analysis!H18)</f>
        <v>32586.079999999998</v>
      </c>
    </row>
    <row r="19" spans="1:12" x14ac:dyDescent="0.3">
      <c r="B19" s="7">
        <f>SUM(B12:B18)</f>
        <v>27658.337930877096</v>
      </c>
      <c r="E19" s="7">
        <f>SUM(E12:E18)</f>
        <v>1408665.4800000002</v>
      </c>
      <c r="H19" s="7" t="str">
        <v>Japan</v>
      </c>
      <c r="I19" s="7">
        <f>SUMIFS('sales_data_sample (2)'!$E$2:$E$308,'sales_data_sample (2)'!$V$2:$V$308,Analysis!H19)</f>
        <v>25491.37</v>
      </c>
    </row>
    <row r="20" spans="1:12" x14ac:dyDescent="0.3">
      <c r="H20" s="7" t="str">
        <v>Ireland</v>
      </c>
      <c r="I20" s="7">
        <f>SUMIFS('sales_data_sample (2)'!$E$2:$E$308,'sales_data_sample (2)'!$V$2:$V$308,Analysis!H20)</f>
        <v>9251.1899999999987</v>
      </c>
    </row>
    <row r="21" spans="1:12" x14ac:dyDescent="0.3">
      <c r="H21" s="7" t="str">
        <v>Switzerland</v>
      </c>
      <c r="I21" s="7">
        <f>SUMIFS('sales_data_sample (2)'!$E$2:$E$308,'sales_data_sample (2)'!$V$2:$V$308,Analysis!H21)</f>
        <v>7950.15</v>
      </c>
      <c r="L21">
        <f>AVERAGE(B12:B18)</f>
        <v>3951.1911329824425</v>
      </c>
    </row>
  </sheetData>
  <mergeCells count="5">
    <mergeCell ref="A1:B1"/>
    <mergeCell ref="D1:E1"/>
    <mergeCell ref="A11:B11"/>
    <mergeCell ref="D11:E11"/>
    <mergeCell ref="H2: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A9D2-3ED6-42EE-B214-5740B06D5CFE}">
  <dimension ref="C2:M27"/>
  <sheetViews>
    <sheetView workbookViewId="0">
      <selection activeCell="J22" sqref="J22"/>
    </sheetView>
  </sheetViews>
  <sheetFormatPr defaultRowHeight="14.4" x14ac:dyDescent="0.3"/>
  <cols>
    <col min="1" max="1" width="12.44140625" bestFit="1" customWidth="1"/>
    <col min="2" max="2" width="12.21875" bestFit="1" customWidth="1"/>
    <col min="3" max="3" width="10.5546875" bestFit="1" customWidth="1"/>
    <col min="4" max="4" width="12.21875" customWidth="1"/>
    <col min="6" max="6" width="10.5546875" bestFit="1" customWidth="1"/>
    <col min="7" max="7" width="12.21875" bestFit="1" customWidth="1"/>
    <col min="9" max="9" width="15" bestFit="1" customWidth="1"/>
    <col min="10" max="11" width="12.21875" bestFit="1" customWidth="1"/>
    <col min="13" max="13" width="15" bestFit="1" customWidth="1"/>
    <col min="14" max="14" width="12.21875" bestFit="1" customWidth="1"/>
    <col min="16" max="16" width="11.44140625" customWidth="1"/>
    <col min="17" max="17" width="17.109375" customWidth="1"/>
  </cols>
  <sheetData>
    <row r="2" spans="3:13" x14ac:dyDescent="0.3">
      <c r="F2" s="5" t="s">
        <v>778</v>
      </c>
      <c r="G2" t="s">
        <v>766</v>
      </c>
      <c r="I2" s="5" t="s">
        <v>779</v>
      </c>
      <c r="J2" t="s">
        <v>766</v>
      </c>
    </row>
    <row r="3" spans="3:13" x14ac:dyDescent="0.3">
      <c r="F3" s="6" t="s">
        <v>101</v>
      </c>
      <c r="G3">
        <v>78724.680000000008</v>
      </c>
      <c r="I3" s="6" t="s">
        <v>198</v>
      </c>
      <c r="J3">
        <v>862876.90000000061</v>
      </c>
    </row>
    <row r="4" spans="3:13" x14ac:dyDescent="0.3">
      <c r="C4" s="5" t="s">
        <v>7</v>
      </c>
      <c r="D4" t="s">
        <v>784</v>
      </c>
      <c r="F4" s="6" t="s">
        <v>162</v>
      </c>
      <c r="G4">
        <v>27942.6</v>
      </c>
      <c r="I4" s="6" t="s">
        <v>27</v>
      </c>
      <c r="J4">
        <v>169340.02</v>
      </c>
    </row>
    <row r="5" spans="3:13" x14ac:dyDescent="0.3">
      <c r="C5" s="6" t="s">
        <v>378</v>
      </c>
      <c r="D5">
        <v>4</v>
      </c>
      <c r="F5" s="6" t="s">
        <v>414</v>
      </c>
      <c r="G5">
        <v>21988.67</v>
      </c>
      <c r="I5" s="6" t="s">
        <v>658</v>
      </c>
      <c r="J5">
        <v>87578.14</v>
      </c>
    </row>
    <row r="6" spans="3:13" x14ac:dyDescent="0.3">
      <c r="C6" s="6" t="s">
        <v>189</v>
      </c>
      <c r="D6">
        <v>3</v>
      </c>
      <c r="F6" s="6" t="s">
        <v>255</v>
      </c>
      <c r="G6">
        <v>32586.080000000002</v>
      </c>
      <c r="I6" s="6" t="s">
        <v>702</v>
      </c>
      <c r="J6">
        <v>17695.669999999998</v>
      </c>
    </row>
    <row r="7" spans="3:13" x14ac:dyDescent="0.3">
      <c r="C7" s="6" t="s">
        <v>334</v>
      </c>
      <c r="D7">
        <v>6</v>
      </c>
      <c r="F7" s="6" t="s">
        <v>363</v>
      </c>
      <c r="G7">
        <v>39151.18</v>
      </c>
      <c r="I7" s="6" t="s">
        <v>711</v>
      </c>
      <c r="J7">
        <v>5518.94</v>
      </c>
    </row>
    <row r="8" spans="3:13" x14ac:dyDescent="0.3">
      <c r="C8" s="6" t="s">
        <v>452</v>
      </c>
      <c r="D8">
        <v>4</v>
      </c>
      <c r="F8" s="6" t="s">
        <v>141</v>
      </c>
      <c r="G8">
        <v>33648.299999999996</v>
      </c>
      <c r="I8" s="6" t="s">
        <v>573</v>
      </c>
      <c r="J8">
        <v>56311.839999999989</v>
      </c>
    </row>
    <row r="9" spans="3:13" x14ac:dyDescent="0.3">
      <c r="C9" s="6" t="s">
        <v>460</v>
      </c>
      <c r="D9">
        <v>4</v>
      </c>
      <c r="F9" s="6" t="s">
        <v>42</v>
      </c>
      <c r="G9">
        <v>161203.70000000001</v>
      </c>
      <c r="I9" s="6" t="s">
        <v>630</v>
      </c>
      <c r="J9">
        <v>209343.97</v>
      </c>
    </row>
    <row r="10" spans="3:13" x14ac:dyDescent="0.3">
      <c r="C10" s="6" t="s">
        <v>26</v>
      </c>
      <c r="D10">
        <v>286</v>
      </c>
      <c r="F10" s="6" t="s">
        <v>500</v>
      </c>
      <c r="G10">
        <v>35784.47</v>
      </c>
      <c r="I10" s="6" t="s">
        <v>764</v>
      </c>
    </row>
    <row r="11" spans="3:13" x14ac:dyDescent="0.3">
      <c r="C11" s="6" t="s">
        <v>765</v>
      </c>
      <c r="D11">
        <v>307</v>
      </c>
      <c r="F11" s="6" t="s">
        <v>548</v>
      </c>
      <c r="G11">
        <v>9251.1899999999987</v>
      </c>
      <c r="I11" s="6" t="s">
        <v>765</v>
      </c>
      <c r="J11">
        <v>1408665.4800000004</v>
      </c>
    </row>
    <row r="12" spans="3:13" x14ac:dyDescent="0.3">
      <c r="F12" s="6" t="s">
        <v>286</v>
      </c>
      <c r="G12">
        <v>51544.439999999995</v>
      </c>
    </row>
    <row r="13" spans="3:13" x14ac:dyDescent="0.3">
      <c r="C13" s="5" t="s">
        <v>756</v>
      </c>
      <c r="D13" t="s">
        <v>766</v>
      </c>
      <c r="F13" s="6" t="s">
        <v>221</v>
      </c>
      <c r="G13">
        <v>25491.37</v>
      </c>
      <c r="I13" s="5" t="s">
        <v>766</v>
      </c>
      <c r="J13" s="5" t="s">
        <v>783</v>
      </c>
    </row>
    <row r="14" spans="3:13" x14ac:dyDescent="0.3">
      <c r="C14" s="6" t="s">
        <v>627</v>
      </c>
      <c r="D14">
        <v>109979.68999999999</v>
      </c>
      <c r="F14" s="6" t="s">
        <v>82</v>
      </c>
      <c r="G14">
        <v>41482.370000000003</v>
      </c>
      <c r="I14" s="5" t="s">
        <v>7</v>
      </c>
      <c r="J14">
        <v>2003</v>
      </c>
      <c r="K14">
        <v>2004</v>
      </c>
      <c r="L14">
        <v>2005</v>
      </c>
      <c r="M14" t="s">
        <v>765</v>
      </c>
    </row>
    <row r="15" spans="3:13" x14ac:dyDescent="0.3">
      <c r="C15" s="6" t="s">
        <v>767</v>
      </c>
      <c r="D15">
        <v>114294.27000000002</v>
      </c>
      <c r="F15" s="6" t="s">
        <v>486</v>
      </c>
      <c r="G15">
        <v>17154.349999999999</v>
      </c>
      <c r="I15" s="6">
        <v>1</v>
      </c>
      <c r="J15">
        <v>69453.570000000007</v>
      </c>
      <c r="K15">
        <v>134743.13</v>
      </c>
      <c r="L15">
        <v>126659.16</v>
      </c>
      <c r="M15">
        <v>330855.86</v>
      </c>
    </row>
    <row r="16" spans="3:13" x14ac:dyDescent="0.3">
      <c r="C16" s="6" t="s">
        <v>768</v>
      </c>
      <c r="D16">
        <v>106581.90000000002</v>
      </c>
      <c r="F16" s="6" t="s">
        <v>220</v>
      </c>
      <c r="G16">
        <v>47702.18</v>
      </c>
      <c r="I16" s="6">
        <v>2</v>
      </c>
      <c r="J16">
        <v>87922.810000000012</v>
      </c>
      <c r="K16">
        <v>121869.99</v>
      </c>
      <c r="L16">
        <v>122874.40000000001</v>
      </c>
      <c r="M16">
        <v>332667.2</v>
      </c>
    </row>
    <row r="17" spans="3:13" x14ac:dyDescent="0.3">
      <c r="C17" s="6" t="s">
        <v>769</v>
      </c>
      <c r="D17">
        <v>112145.02999999998</v>
      </c>
      <c r="F17" s="6" t="s">
        <v>194</v>
      </c>
      <c r="G17">
        <v>157078.92000000001</v>
      </c>
      <c r="I17" s="6">
        <v>3</v>
      </c>
      <c r="J17">
        <v>96382.030000000013</v>
      </c>
      <c r="K17">
        <v>155497.07000000004</v>
      </c>
      <c r="M17">
        <v>251879.10000000003</v>
      </c>
    </row>
    <row r="18" spans="3:13" x14ac:dyDescent="0.3">
      <c r="C18" s="6" t="s">
        <v>770</v>
      </c>
      <c r="D18">
        <v>146003.9</v>
      </c>
      <c r="F18" s="6" t="s">
        <v>206</v>
      </c>
      <c r="G18">
        <v>36716.409999999996</v>
      </c>
      <c r="I18" s="6">
        <v>4</v>
      </c>
      <c r="J18">
        <v>250530.6</v>
      </c>
      <c r="K18">
        <v>242732.72000000003</v>
      </c>
      <c r="M18">
        <v>493263.32000000007</v>
      </c>
    </row>
    <row r="19" spans="3:13" x14ac:dyDescent="0.3">
      <c r="C19" s="6" t="s">
        <v>771</v>
      </c>
      <c r="D19">
        <v>74518.270000000019</v>
      </c>
      <c r="F19" s="6" t="s">
        <v>508</v>
      </c>
      <c r="G19">
        <v>7950.15</v>
      </c>
      <c r="I19" s="6" t="s">
        <v>765</v>
      </c>
      <c r="J19">
        <v>504289.01</v>
      </c>
      <c r="K19">
        <v>654842.91000000015</v>
      </c>
      <c r="L19">
        <v>249533.56</v>
      </c>
      <c r="M19">
        <v>1408665.4800000002</v>
      </c>
    </row>
    <row r="20" spans="3:13" x14ac:dyDescent="0.3">
      <c r="C20" s="6" t="s">
        <v>772</v>
      </c>
      <c r="D20">
        <v>76429.62</v>
      </c>
      <c r="F20" s="6" t="s">
        <v>185</v>
      </c>
      <c r="G20">
        <v>58880.53</v>
      </c>
    </row>
    <row r="21" spans="3:13" x14ac:dyDescent="0.3">
      <c r="C21" s="6" t="s">
        <v>773</v>
      </c>
      <c r="D21">
        <v>80698.98</v>
      </c>
      <c r="F21" s="6" t="s">
        <v>33</v>
      </c>
      <c r="G21">
        <v>524383.89</v>
      </c>
    </row>
    <row r="22" spans="3:13" x14ac:dyDescent="0.3">
      <c r="C22" s="6" t="s">
        <v>774</v>
      </c>
      <c r="D22">
        <v>94750.5</v>
      </c>
      <c r="F22" s="6" t="s">
        <v>764</v>
      </c>
    </row>
    <row r="23" spans="3:13" x14ac:dyDescent="0.3">
      <c r="C23" s="6" t="s">
        <v>775</v>
      </c>
      <c r="D23">
        <v>156925.06999999998</v>
      </c>
      <c r="F23" s="6" t="s">
        <v>765</v>
      </c>
      <c r="G23">
        <v>1408665.48</v>
      </c>
    </row>
    <row r="24" spans="3:13" x14ac:dyDescent="0.3">
      <c r="C24" s="6" t="s">
        <v>776</v>
      </c>
      <c r="D24">
        <v>270092.26</v>
      </c>
    </row>
    <row r="25" spans="3:13" x14ac:dyDescent="0.3">
      <c r="C25" s="6" t="s">
        <v>777</v>
      </c>
      <c r="D25">
        <v>66245.990000000005</v>
      </c>
    </row>
    <row r="26" spans="3:13" x14ac:dyDescent="0.3">
      <c r="C26" s="6" t="s">
        <v>764</v>
      </c>
    </row>
    <row r="27" spans="3:13" x14ac:dyDescent="0.3">
      <c r="C27" s="6" t="s">
        <v>765</v>
      </c>
      <c r="D27">
        <v>1408665.48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F8474-A5E1-485C-9245-5D25F12A7830}">
  <dimension ref="A1:V4"/>
  <sheetViews>
    <sheetView showGridLines="0" workbookViewId="0">
      <selection activeCell="W5" sqref="W5"/>
    </sheetView>
  </sheetViews>
  <sheetFormatPr defaultRowHeight="14.4" x14ac:dyDescent="0.3"/>
  <cols>
    <col min="1" max="16384" width="8.88671875" style="8"/>
  </cols>
  <sheetData>
    <row r="1" spans="1:22" x14ac:dyDescent="0.3">
      <c r="A1" s="18" t="s">
        <v>785</v>
      </c>
      <c r="B1" s="18"/>
      <c r="C1" s="18"/>
      <c r="D1" s="18"/>
      <c r="E1" s="18"/>
      <c r="F1" s="18"/>
      <c r="G1" s="18"/>
      <c r="H1" s="18"/>
      <c r="I1" s="18"/>
      <c r="J1" s="18"/>
      <c r="K1" s="18"/>
      <c r="L1" s="18"/>
      <c r="M1" s="18"/>
      <c r="N1" s="18"/>
      <c r="O1" s="18"/>
      <c r="P1" s="18"/>
      <c r="Q1" s="18"/>
      <c r="R1" s="18"/>
      <c r="S1" s="18"/>
      <c r="T1" s="18"/>
      <c r="U1" s="18"/>
      <c r="V1" s="18"/>
    </row>
    <row r="2" spans="1:22" x14ac:dyDescent="0.3">
      <c r="A2" s="18"/>
      <c r="B2" s="18"/>
      <c r="C2" s="18"/>
      <c r="D2" s="18"/>
      <c r="E2" s="18"/>
      <c r="F2" s="18"/>
      <c r="G2" s="18"/>
      <c r="H2" s="18"/>
      <c r="I2" s="18"/>
      <c r="J2" s="18"/>
      <c r="K2" s="18"/>
      <c r="L2" s="18"/>
      <c r="M2" s="18"/>
      <c r="N2" s="18"/>
      <c r="O2" s="18"/>
      <c r="P2" s="18"/>
      <c r="Q2" s="18"/>
      <c r="R2" s="18"/>
      <c r="S2" s="18"/>
      <c r="T2" s="18"/>
      <c r="U2" s="18"/>
      <c r="V2" s="18"/>
    </row>
    <row r="3" spans="1:22" x14ac:dyDescent="0.3">
      <c r="A3" s="18"/>
      <c r="B3" s="18"/>
      <c r="C3" s="18"/>
      <c r="D3" s="18"/>
      <c r="E3" s="18"/>
      <c r="F3" s="18"/>
      <c r="G3" s="18"/>
      <c r="H3" s="18"/>
      <c r="I3" s="18"/>
      <c r="J3" s="18"/>
      <c r="K3" s="18"/>
      <c r="L3" s="18"/>
      <c r="M3" s="18"/>
      <c r="N3" s="18"/>
      <c r="O3" s="18"/>
      <c r="P3" s="18"/>
      <c r="Q3" s="18"/>
      <c r="R3" s="18"/>
      <c r="S3" s="18"/>
      <c r="T3" s="18"/>
      <c r="U3" s="18"/>
      <c r="V3" s="18"/>
    </row>
    <row r="4" spans="1:22" x14ac:dyDescent="0.3">
      <c r="A4" s="18"/>
      <c r="B4" s="18"/>
      <c r="C4" s="18"/>
      <c r="D4" s="18"/>
      <c r="E4" s="18"/>
      <c r="F4" s="18"/>
      <c r="G4" s="18"/>
      <c r="H4" s="18"/>
      <c r="I4" s="18"/>
      <c r="J4" s="18"/>
      <c r="K4" s="18"/>
      <c r="L4" s="18"/>
      <c r="M4" s="18"/>
      <c r="N4" s="18"/>
      <c r="O4" s="18"/>
      <c r="P4" s="18"/>
      <c r="Q4" s="18"/>
      <c r="R4" s="18"/>
      <c r="S4" s="18"/>
      <c r="T4" s="18"/>
      <c r="U4" s="18"/>
      <c r="V4" s="18"/>
    </row>
  </sheetData>
  <mergeCells count="1">
    <mergeCell ref="A1:V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sales_data_sample (1)</vt:lpstr>
      <vt:lpstr>sales_data_sample (2)</vt:lpstr>
      <vt:lpstr>Data Transformation</vt:lpstr>
      <vt:lpstr>Analysis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Ansa V Shiju</cp:lastModifiedBy>
  <dcterms:created xsi:type="dcterms:W3CDTF">2026-06-17T08:35:37Z</dcterms:created>
  <dcterms:modified xsi:type="dcterms:W3CDTF">2026-06-22T19:03:11Z</dcterms:modified>
</cp:coreProperties>
</file>